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PPLEMENTARY FILES\"/>
    </mc:Choice>
  </mc:AlternateContent>
  <xr:revisionPtr revIDLastSave="0" documentId="13_ncr:1_{560367BC-1156-48B0-9FEE-67670CFDBA56}" xr6:coauthVersionLast="47" xr6:coauthVersionMax="47" xr10:uidLastSave="{00000000-0000-0000-0000-000000000000}"/>
  <bookViews>
    <workbookView xWindow="-110" yWindow="-110" windowWidth="19420" windowHeight="10300" xr2:uid="{73DAD575-60B2-4A4A-A3CB-7726F1E3A7AC}"/>
  </bookViews>
  <sheets>
    <sheet name="Sheet2" sheetId="2" r:id="rId1"/>
    <sheet name="Sheet3" sheetId="3" r:id="rId2"/>
  </sheets>
  <definedNames>
    <definedName name="_xlnm._FilterDatabase" localSheetId="0" hidden="1">Sheet2!#REF!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1" i="2"/>
  <c r="Q142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2" i="2"/>
  <c r="M3" i="2" l="1"/>
  <c r="O3" i="2" s="1"/>
  <c r="M4" i="2"/>
  <c r="O4" i="2" s="1"/>
  <c r="M5" i="2"/>
  <c r="O5" i="2" s="1"/>
  <c r="M6" i="2"/>
  <c r="O6" i="2" s="1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O33" i="2" s="1"/>
  <c r="M34" i="2"/>
  <c r="O34" i="2" s="1"/>
  <c r="M35" i="2"/>
  <c r="O35" i="2" s="1"/>
  <c r="M36" i="2"/>
  <c r="O36" i="2" s="1"/>
  <c r="M37" i="2"/>
  <c r="O37" i="2" s="1"/>
  <c r="M38" i="2"/>
  <c r="O38" i="2" s="1"/>
  <c r="M39" i="2"/>
  <c r="O39" i="2" s="1"/>
  <c r="M40" i="2"/>
  <c r="O40" i="2" s="1"/>
  <c r="M41" i="2"/>
  <c r="O41" i="2" s="1"/>
  <c r="M42" i="2"/>
  <c r="O42" i="2" s="1"/>
  <c r="M43" i="2"/>
  <c r="O43" i="2" s="1"/>
  <c r="M44" i="2"/>
  <c r="O44" i="2" s="1"/>
  <c r="M45" i="2"/>
  <c r="O45" i="2" s="1"/>
  <c r="M46" i="2"/>
  <c r="O46" i="2" s="1"/>
  <c r="M47" i="2"/>
  <c r="O47" i="2" s="1"/>
  <c r="M48" i="2"/>
  <c r="O48" i="2" s="1"/>
  <c r="M49" i="2"/>
  <c r="O49" i="2" s="1"/>
  <c r="M50" i="2"/>
  <c r="O50" i="2" s="1"/>
  <c r="M51" i="2"/>
  <c r="O51" i="2" s="1"/>
  <c r="M52" i="2"/>
  <c r="O52" i="2" s="1"/>
  <c r="M53" i="2"/>
  <c r="O53" i="2" s="1"/>
  <c r="M54" i="2"/>
  <c r="O54" i="2" s="1"/>
  <c r="M55" i="2"/>
  <c r="O55" i="2" s="1"/>
  <c r="M56" i="2"/>
  <c r="O56" i="2" s="1"/>
  <c r="M57" i="2"/>
  <c r="O57" i="2" s="1"/>
  <c r="M58" i="2"/>
  <c r="O58" i="2" s="1"/>
  <c r="M59" i="2"/>
  <c r="O59" i="2" s="1"/>
  <c r="M60" i="2"/>
  <c r="O60" i="2" s="1"/>
  <c r="M61" i="2"/>
  <c r="O61" i="2" s="1"/>
  <c r="M62" i="2"/>
  <c r="O62" i="2" s="1"/>
  <c r="M63" i="2"/>
  <c r="O63" i="2" s="1"/>
  <c r="M64" i="2"/>
  <c r="O64" i="2" s="1"/>
  <c r="M65" i="2"/>
  <c r="O65" i="2" s="1"/>
  <c r="M66" i="2"/>
  <c r="O66" i="2" s="1"/>
  <c r="M67" i="2"/>
  <c r="O67" i="2" s="1"/>
  <c r="M68" i="2"/>
  <c r="O68" i="2" s="1"/>
  <c r="M69" i="2"/>
  <c r="O69" i="2" s="1"/>
  <c r="M70" i="2"/>
  <c r="O70" i="2" s="1"/>
  <c r="M71" i="2"/>
  <c r="O71" i="2" s="1"/>
  <c r="M72" i="2"/>
  <c r="O72" i="2" s="1"/>
  <c r="M73" i="2"/>
  <c r="O73" i="2" s="1"/>
  <c r="M74" i="2"/>
  <c r="O74" i="2" s="1"/>
  <c r="M75" i="2"/>
  <c r="O75" i="2" s="1"/>
  <c r="M76" i="2"/>
  <c r="O76" i="2" s="1"/>
  <c r="M77" i="2"/>
  <c r="O77" i="2" s="1"/>
  <c r="M78" i="2"/>
  <c r="O78" i="2" s="1"/>
  <c r="M79" i="2"/>
  <c r="O79" i="2" s="1"/>
  <c r="M80" i="2"/>
  <c r="O80" i="2" s="1"/>
  <c r="M81" i="2"/>
  <c r="O81" i="2" s="1"/>
  <c r="M82" i="2"/>
  <c r="O82" i="2" s="1"/>
  <c r="M83" i="2"/>
  <c r="O83" i="2" s="1"/>
  <c r="M84" i="2"/>
  <c r="O84" i="2" s="1"/>
  <c r="M85" i="2"/>
  <c r="O85" i="2" s="1"/>
  <c r="M86" i="2"/>
  <c r="O86" i="2" s="1"/>
  <c r="M87" i="2"/>
  <c r="O87" i="2" s="1"/>
  <c r="M88" i="2"/>
  <c r="O88" i="2" s="1"/>
  <c r="M89" i="2"/>
  <c r="O89" i="2" s="1"/>
  <c r="M90" i="2"/>
  <c r="O90" i="2" s="1"/>
  <c r="M91" i="2"/>
  <c r="O91" i="2" s="1"/>
  <c r="M92" i="2"/>
  <c r="O92" i="2" s="1"/>
  <c r="M93" i="2"/>
  <c r="O93" i="2" s="1"/>
  <c r="M94" i="2"/>
  <c r="O94" i="2" s="1"/>
  <c r="M95" i="2"/>
  <c r="O95" i="2" s="1"/>
  <c r="M96" i="2"/>
  <c r="O96" i="2" s="1"/>
  <c r="M97" i="2"/>
  <c r="O97" i="2" s="1"/>
  <c r="M98" i="2"/>
  <c r="O98" i="2" s="1"/>
  <c r="M99" i="2"/>
  <c r="O99" i="2" s="1"/>
  <c r="M100" i="2"/>
  <c r="O100" i="2" s="1"/>
  <c r="M101" i="2"/>
  <c r="O101" i="2" s="1"/>
  <c r="M102" i="2"/>
  <c r="O102" i="2" s="1"/>
  <c r="M103" i="2"/>
  <c r="O103" i="2" s="1"/>
  <c r="M104" i="2"/>
  <c r="O104" i="2" s="1"/>
  <c r="M105" i="2"/>
  <c r="O105" i="2" s="1"/>
  <c r="M106" i="2"/>
  <c r="O106" i="2" s="1"/>
  <c r="M107" i="2"/>
  <c r="O107" i="2" s="1"/>
  <c r="M108" i="2"/>
  <c r="O108" i="2" s="1"/>
  <c r="M109" i="2"/>
  <c r="O109" i="2" s="1"/>
  <c r="M110" i="2"/>
  <c r="O110" i="2" s="1"/>
  <c r="M111" i="2"/>
  <c r="O111" i="2" s="1"/>
  <c r="M112" i="2"/>
  <c r="O112" i="2" s="1"/>
  <c r="M113" i="2"/>
  <c r="O113" i="2" s="1"/>
  <c r="M114" i="2"/>
  <c r="O114" i="2" s="1"/>
  <c r="M115" i="2"/>
  <c r="O115" i="2" s="1"/>
  <c r="M116" i="2"/>
  <c r="O116" i="2" s="1"/>
  <c r="M117" i="2"/>
  <c r="O117" i="2" s="1"/>
  <c r="M118" i="2"/>
  <c r="O118" i="2" s="1"/>
  <c r="M119" i="2"/>
  <c r="O119" i="2" s="1"/>
  <c r="M120" i="2"/>
  <c r="O120" i="2" s="1"/>
  <c r="M121" i="2"/>
  <c r="O121" i="2" s="1"/>
  <c r="M122" i="2"/>
  <c r="O122" i="2" s="1"/>
  <c r="M123" i="2"/>
  <c r="O123" i="2" s="1"/>
  <c r="M124" i="2"/>
  <c r="O124" i="2" s="1"/>
  <c r="M125" i="2"/>
  <c r="O125" i="2" s="1"/>
  <c r="M126" i="2"/>
  <c r="O126" i="2" s="1"/>
  <c r="M127" i="2"/>
  <c r="O127" i="2" s="1"/>
  <c r="M128" i="2"/>
  <c r="O128" i="2" s="1"/>
  <c r="M129" i="2"/>
  <c r="O129" i="2" s="1"/>
  <c r="M130" i="2"/>
  <c r="O130" i="2" s="1"/>
  <c r="M131" i="2"/>
  <c r="O131" i="2" s="1"/>
  <c r="M132" i="2"/>
  <c r="O132" i="2" s="1"/>
  <c r="M133" i="2"/>
  <c r="O133" i="2" s="1"/>
  <c r="M134" i="2"/>
  <c r="O134" i="2" s="1"/>
  <c r="M135" i="2"/>
  <c r="O135" i="2" s="1"/>
  <c r="M136" i="2"/>
  <c r="O136" i="2" s="1"/>
  <c r="M137" i="2"/>
  <c r="O137" i="2" s="1"/>
  <c r="M138" i="2"/>
  <c r="O138" i="2" s="1"/>
  <c r="M139" i="2"/>
  <c r="O139" i="2" s="1"/>
  <c r="M141" i="2"/>
  <c r="O141" i="2" s="1"/>
  <c r="M142" i="2"/>
  <c r="O142" i="2" s="1"/>
  <c r="M144" i="2"/>
  <c r="O144" i="2" s="1"/>
  <c r="M145" i="2"/>
  <c r="O145" i="2" s="1"/>
  <c r="M146" i="2"/>
  <c r="O146" i="2" s="1"/>
  <c r="M147" i="2"/>
  <c r="O147" i="2" s="1"/>
  <c r="M148" i="2"/>
  <c r="O148" i="2" s="1"/>
  <c r="M149" i="2"/>
  <c r="O149" i="2" s="1"/>
  <c r="M150" i="2"/>
  <c r="O150" i="2" s="1"/>
  <c r="M151" i="2"/>
  <c r="O151" i="2" s="1"/>
  <c r="M152" i="2"/>
  <c r="O152" i="2" s="1"/>
  <c r="M153" i="2"/>
  <c r="O153" i="2" s="1"/>
  <c r="M154" i="2"/>
  <c r="O154" i="2" s="1"/>
  <c r="M155" i="2"/>
  <c r="O155" i="2" s="1"/>
  <c r="M156" i="2"/>
  <c r="O156" i="2" s="1"/>
  <c r="M157" i="2"/>
  <c r="O157" i="2" s="1"/>
  <c r="M158" i="2"/>
  <c r="O158" i="2" s="1"/>
  <c r="M159" i="2"/>
  <c r="O159" i="2" s="1"/>
  <c r="M160" i="2"/>
  <c r="O160" i="2" s="1"/>
  <c r="M161" i="2"/>
  <c r="O161" i="2" s="1"/>
  <c r="M162" i="2"/>
  <c r="O162" i="2" s="1"/>
  <c r="M163" i="2"/>
  <c r="O163" i="2" s="1"/>
  <c r="M164" i="2"/>
  <c r="O164" i="2" s="1"/>
  <c r="M165" i="2"/>
  <c r="O165" i="2" s="1"/>
  <c r="M166" i="2"/>
  <c r="O166" i="2" s="1"/>
  <c r="M167" i="2"/>
  <c r="O167" i="2" s="1"/>
  <c r="M168" i="2"/>
  <c r="M169" i="2"/>
  <c r="M170" i="2"/>
  <c r="M171" i="2"/>
  <c r="M172" i="2"/>
  <c r="M173" i="2"/>
  <c r="M174" i="2"/>
  <c r="M175" i="2"/>
  <c r="M176" i="2"/>
  <c r="M177" i="2"/>
  <c r="M2" i="2"/>
  <c r="O2" i="2" s="1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L169" i="2"/>
  <c r="L170" i="2"/>
  <c r="L171" i="2"/>
  <c r="L172" i="2"/>
  <c r="L173" i="2"/>
  <c r="L174" i="2"/>
  <c r="L175" i="2"/>
  <c r="L176" i="2"/>
  <c r="L177" i="2"/>
  <c r="L2" i="2"/>
  <c r="N2" i="2" s="1"/>
</calcChain>
</file>

<file path=xl/sharedStrings.xml><?xml version="1.0" encoding="utf-8"?>
<sst xmlns="http://schemas.openxmlformats.org/spreadsheetml/2006/main" count="193" uniqueCount="193">
  <si>
    <t>Adjumani District</t>
  </si>
  <si>
    <t>Apac District</t>
  </si>
  <si>
    <t>Arua District</t>
  </si>
  <si>
    <t>Bugiri District</t>
  </si>
  <si>
    <t>Bundibugyo District</t>
  </si>
  <si>
    <t>Bushenyi District</t>
  </si>
  <si>
    <t>Busia District</t>
  </si>
  <si>
    <t>Gulu District</t>
  </si>
  <si>
    <t>Hoima District</t>
  </si>
  <si>
    <t>Iganga District</t>
  </si>
  <si>
    <t>Jinja District</t>
  </si>
  <si>
    <t>Kabale District</t>
  </si>
  <si>
    <t>Kabarole District</t>
  </si>
  <si>
    <t>Kaberamaido District</t>
  </si>
  <si>
    <t>Kalangala District</t>
  </si>
  <si>
    <t>Kamuli District</t>
  </si>
  <si>
    <t>Kamwenge District</t>
  </si>
  <si>
    <t>Kanungu District</t>
  </si>
  <si>
    <t>Kapchorwa District</t>
  </si>
  <si>
    <t>Kasese District</t>
  </si>
  <si>
    <t>Katakwi District</t>
  </si>
  <si>
    <t>Kayunga District</t>
  </si>
  <si>
    <t>Kibaale District</t>
  </si>
  <si>
    <t>Kiboga District</t>
  </si>
  <si>
    <t>Kisoro District</t>
  </si>
  <si>
    <t>Kitgum District</t>
  </si>
  <si>
    <t>Kotido District</t>
  </si>
  <si>
    <t>Kumi District</t>
  </si>
  <si>
    <t>Kyenjojo District</t>
  </si>
  <si>
    <t>Lira District</t>
  </si>
  <si>
    <t>Luwero District</t>
  </si>
  <si>
    <t>Masaka District</t>
  </si>
  <si>
    <t>Masindi District</t>
  </si>
  <si>
    <t>Mayuge District</t>
  </si>
  <si>
    <t>Mbale District</t>
  </si>
  <si>
    <t>Mbarara District</t>
  </si>
  <si>
    <t>Moroto District</t>
  </si>
  <si>
    <t>Moyo District</t>
  </si>
  <si>
    <t>Mpigi District</t>
  </si>
  <si>
    <t>Mubende District</t>
  </si>
  <si>
    <t>Mukono District</t>
  </si>
  <si>
    <t>Nakapiripirit District</t>
  </si>
  <si>
    <t>Nakasongola District</t>
  </si>
  <si>
    <t>Nebbi District</t>
  </si>
  <si>
    <t>Ntungamo District</t>
  </si>
  <si>
    <t>Pader District</t>
  </si>
  <si>
    <t>Pallisa District</t>
  </si>
  <si>
    <t>Rakai District</t>
  </si>
  <si>
    <t>Rukungiri District</t>
  </si>
  <si>
    <t>Sembabule District</t>
  </si>
  <si>
    <t>Sironko District</t>
  </si>
  <si>
    <t>Soroti District</t>
  </si>
  <si>
    <t>Tororo District</t>
  </si>
  <si>
    <t>Wakiso District</t>
  </si>
  <si>
    <t>Yumbe District</t>
  </si>
  <si>
    <t>Butaleja District</t>
  </si>
  <si>
    <t>Ibanda District</t>
  </si>
  <si>
    <t>Kaabong District</t>
  </si>
  <si>
    <t>Isingiro District</t>
  </si>
  <si>
    <t>Kaliro District</t>
  </si>
  <si>
    <t>Kiruhura District</t>
  </si>
  <si>
    <t>Koboko District</t>
  </si>
  <si>
    <t>Amolatar District</t>
  </si>
  <si>
    <t>Amuria District</t>
  </si>
  <si>
    <t>Manafwa District</t>
  </si>
  <si>
    <t>Bukwo District</t>
  </si>
  <si>
    <t>Mityana District</t>
  </si>
  <si>
    <t>Nakaseke District</t>
  </si>
  <si>
    <t>Amuru District</t>
  </si>
  <si>
    <t>Budaka District</t>
  </si>
  <si>
    <t>Oyam District</t>
  </si>
  <si>
    <t>Abim District</t>
  </si>
  <si>
    <t>Namutumba District</t>
  </si>
  <si>
    <t>Dokolo District</t>
  </si>
  <si>
    <t>Buliisa District</t>
  </si>
  <si>
    <t>Maracha District</t>
  </si>
  <si>
    <t>Bukedea District</t>
  </si>
  <si>
    <t>Bududa District</t>
  </si>
  <si>
    <t>Lyantonde District</t>
  </si>
  <si>
    <t>Amudat District</t>
  </si>
  <si>
    <t>Buikwe District</t>
  </si>
  <si>
    <t>Buyende District</t>
  </si>
  <si>
    <t>Kyegegwa District</t>
  </si>
  <si>
    <t>Lamwo District</t>
  </si>
  <si>
    <t>Otuke District</t>
  </si>
  <si>
    <t>Zombo District</t>
  </si>
  <si>
    <t>Alebtong District</t>
  </si>
  <si>
    <t>Bulambuli District</t>
  </si>
  <si>
    <t>Buvuma District</t>
  </si>
  <si>
    <t>Gomba District</t>
  </si>
  <si>
    <t>Kiryandongo District</t>
  </si>
  <si>
    <t>Luuka District</t>
  </si>
  <si>
    <t>Namayingo District</t>
  </si>
  <si>
    <t>Ntoroko District</t>
  </si>
  <si>
    <t>Serere District</t>
  </si>
  <si>
    <t>Kyankwanzi District</t>
  </si>
  <si>
    <t>Kalungu District</t>
  </si>
  <si>
    <t>Lwengo District</t>
  </si>
  <si>
    <t>Bukomansimbi District</t>
  </si>
  <si>
    <t>Mitooma District</t>
  </si>
  <si>
    <t>Rubirizi District</t>
  </si>
  <si>
    <t>Ngora District</t>
  </si>
  <si>
    <t>Napak District</t>
  </si>
  <si>
    <t>Kibuku District</t>
  </si>
  <si>
    <t>Nwoya District</t>
  </si>
  <si>
    <t>Kole District</t>
  </si>
  <si>
    <t>Butambala District</t>
  </si>
  <si>
    <t>Sheema District</t>
  </si>
  <si>
    <t>Buhweju District</t>
  </si>
  <si>
    <t>Agago District</t>
  </si>
  <si>
    <t>Kween District</t>
  </si>
  <si>
    <t>Kagadi District</t>
  </si>
  <si>
    <t>Kakumiro District</t>
  </si>
  <si>
    <t>Omoro District</t>
  </si>
  <si>
    <t>Rubanda District</t>
  </si>
  <si>
    <t>Namisindwa District</t>
  </si>
  <si>
    <t>Pakwach District</t>
  </si>
  <si>
    <t>Butebo District</t>
  </si>
  <si>
    <t>Rukiga District</t>
  </si>
  <si>
    <t>Kyotera District</t>
  </si>
  <si>
    <t>Bunyangabu District</t>
  </si>
  <si>
    <t>Nabilatuk District</t>
  </si>
  <si>
    <t>Bugweri District</t>
  </si>
  <si>
    <t>Kasanda District</t>
  </si>
  <si>
    <t>Kwania District</t>
  </si>
  <si>
    <t>Kapelebyong District</t>
  </si>
  <si>
    <t>Kikuube District</t>
  </si>
  <si>
    <t>Obongi District</t>
  </si>
  <si>
    <t>Kazo District</t>
  </si>
  <si>
    <t>Rwampara District</t>
  </si>
  <si>
    <t>Kitagwenda District</t>
  </si>
  <si>
    <t>Madi-Okollo District</t>
  </si>
  <si>
    <t>Karenga District</t>
  </si>
  <si>
    <t>Kalaki District</t>
  </si>
  <si>
    <t>Terego District</t>
  </si>
  <si>
    <t>Entebbe Municipal Council</t>
  </si>
  <si>
    <t>Kabale Municipal Council</t>
  </si>
  <si>
    <t>Moroto Municipal Council</t>
  </si>
  <si>
    <t>Kasese Municipal Council</t>
  </si>
  <si>
    <t>Mukono Municipal Council</t>
  </si>
  <si>
    <t>Masindi Municipal Council</t>
  </si>
  <si>
    <t>Ntungamo Municipal Council</t>
  </si>
  <si>
    <t>Busia Municipal Council</t>
  </si>
  <si>
    <t>Bushenyi- Ishaka Municipal Council</t>
  </si>
  <si>
    <t>Rukungiri Municipal Council</t>
  </si>
  <si>
    <t>Nansana Municipal Council</t>
  </si>
  <si>
    <t>Makindye-Ssabagabo Municipal Council</t>
  </si>
  <si>
    <t>Kira Municipal Council</t>
  </si>
  <si>
    <t>Kisoro Municipal Council</t>
  </si>
  <si>
    <t>Mityana Municipal Council</t>
  </si>
  <si>
    <t>Kitgum Municipal Council</t>
  </si>
  <si>
    <t>Koboko Municipal Council</t>
  </si>
  <si>
    <t>Mubende Municipal Council</t>
  </si>
  <si>
    <t>Kumi Municipal Council</t>
  </si>
  <si>
    <t>Lugazi Municipal Council</t>
  </si>
  <si>
    <t>Kamuli Municipal Council</t>
  </si>
  <si>
    <t>Kapchorwa Municipal Council</t>
  </si>
  <si>
    <t>Ibanda Municipal Council</t>
  </si>
  <si>
    <t>Njeru Municipal Council</t>
  </si>
  <si>
    <t>Apac Municipal Council</t>
  </si>
  <si>
    <t>Nebbi Municipal Council</t>
  </si>
  <si>
    <t>Bugiri Municipal Council</t>
  </si>
  <si>
    <t>Sheema Municipal Council</t>
  </si>
  <si>
    <t>Kotido Municipal Council</t>
  </si>
  <si>
    <t>Arua city</t>
  </si>
  <si>
    <t>Mbarara city</t>
  </si>
  <si>
    <t>Gulu city</t>
  </si>
  <si>
    <t>Jinja city</t>
  </si>
  <si>
    <t>Fort-Portal city</t>
  </si>
  <si>
    <t>Mbale city</t>
  </si>
  <si>
    <t>Masaka city</t>
  </si>
  <si>
    <t>Lira city</t>
  </si>
  <si>
    <t>Soroti city</t>
  </si>
  <si>
    <t>Hoima city</t>
  </si>
  <si>
    <t>S/N</t>
  </si>
  <si>
    <t xml:space="preserve">Local government </t>
  </si>
  <si>
    <t>UPE enrollement</t>
  </si>
  <si>
    <t>Tororo Municipal Council</t>
  </si>
  <si>
    <t>Iganga Municipal Council</t>
  </si>
  <si>
    <t>USE enrollement</t>
  </si>
  <si>
    <t>USE Performance Index</t>
  </si>
  <si>
    <t xml:space="preserve">Approved annual budget </t>
  </si>
  <si>
    <t>USE release</t>
  </si>
  <si>
    <t>UPE release</t>
  </si>
  <si>
    <t>UPE Grant per enrolled student</t>
  </si>
  <si>
    <t>USE grant per enrolled student</t>
  </si>
  <si>
    <t>UPE Performance index</t>
  </si>
  <si>
    <t>UPE EPES</t>
  </si>
  <si>
    <t>USE EPES</t>
  </si>
  <si>
    <t>UPE release efficiency</t>
  </si>
  <si>
    <t>USE release efficiency</t>
  </si>
  <si>
    <t>Primary non-wage conditional  grant</t>
  </si>
  <si>
    <t>Secondary  non-wage conditional 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</si>
</sst>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9C51-2337-409F-B672-DE3733A474E4}">
  <dimension ref="A1:AB177"/>
  <sheetViews>
    <sheetView tabSelected="1" zoomScale="101" workbookViewId="0">
      <selection activeCell="V3" sqref="V3"/>
    </sheetView>
  </sheetViews>
  <sheetFormatPr defaultRowHeight="14.5" x14ac:dyDescent="0.35"/>
  <cols>
    <col min="1" max="1" width="8.81640625" bestFit="1" customWidth="1"/>
    <col min="2" max="2" width="32.90625" customWidth="1"/>
    <col min="3" max="3" width="16.81640625" customWidth="1"/>
    <col min="4" max="4" width="18.1796875" customWidth="1"/>
    <col min="5" max="5" width="30.54296875" customWidth="1"/>
    <col min="6" max="6" width="41.1796875" customWidth="1"/>
    <col min="7" max="7" width="22.6328125" customWidth="1"/>
    <col min="8" max="8" width="24.453125" customWidth="1"/>
    <col min="9" max="9" width="20.453125" customWidth="1"/>
    <col min="10" max="10" width="21.6328125" customWidth="1"/>
    <col min="11" max="11" width="15.90625" customWidth="1"/>
    <col min="12" max="12" width="33.26953125" customWidth="1"/>
    <col min="13" max="13" width="29.453125" customWidth="1"/>
    <col min="14" max="14" width="28" customWidth="1"/>
    <col min="15" max="15" width="22" customWidth="1"/>
    <col min="16" max="16" width="22.90625" customWidth="1"/>
    <col min="17" max="17" width="30.36328125" customWidth="1"/>
  </cols>
  <sheetData>
    <row r="1" spans="1:28" x14ac:dyDescent="0.35">
      <c r="A1" t="s">
        <v>174</v>
      </c>
      <c r="B1" t="s">
        <v>175</v>
      </c>
      <c r="C1" t="s">
        <v>176</v>
      </c>
      <c r="D1" t="s">
        <v>179</v>
      </c>
      <c r="E1" t="s">
        <v>191</v>
      </c>
      <c r="F1" t="s">
        <v>192</v>
      </c>
      <c r="G1" t="s">
        <v>180</v>
      </c>
      <c r="H1" t="s">
        <v>186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187</v>
      </c>
      <c r="O1" t="s">
        <v>188</v>
      </c>
      <c r="P1" t="s">
        <v>189</v>
      </c>
      <c r="Q1" t="s">
        <v>190</v>
      </c>
    </row>
    <row r="2" spans="1:28" x14ac:dyDescent="0.35">
      <c r="A2">
        <v>501</v>
      </c>
      <c r="B2" t="s">
        <v>0</v>
      </c>
      <c r="C2">
        <v>59198</v>
      </c>
      <c r="D2">
        <v>3399</v>
      </c>
      <c r="E2" s="1">
        <v>1203679</v>
      </c>
      <c r="F2" s="1">
        <v>792184</v>
      </c>
      <c r="G2">
        <v>0.33</v>
      </c>
      <c r="H2">
        <v>0.44</v>
      </c>
      <c r="I2">
        <v>82072000</v>
      </c>
      <c r="J2">
        <v>238841666.66666666</v>
      </c>
      <c r="K2">
        <v>379839400</v>
      </c>
      <c r="L2">
        <f t="shared" ref="L2:L33" si="0">E2/C2</f>
        <v>20.333102469678028</v>
      </c>
      <c r="M2">
        <f t="shared" ref="M2:M33" si="1">F2/D2</f>
        <v>233.06384230656076</v>
      </c>
      <c r="N2">
        <f t="shared" ref="N2:N33" si="2">H2/L2</f>
        <v>2.1639589957123121E-2</v>
      </c>
      <c r="O2">
        <f t="shared" ref="O2:O33" si="3">G2/M2</f>
        <v>1.4159210486452644E-3</v>
      </c>
      <c r="P2">
        <f>K2/E2</f>
        <v>315.56536252605554</v>
      </c>
      <c r="Q2">
        <f>J2/F2</f>
        <v>301.49771601883737</v>
      </c>
    </row>
    <row r="3" spans="1:28" x14ac:dyDescent="0.35">
      <c r="A3">
        <v>502</v>
      </c>
      <c r="B3" t="s">
        <v>1</v>
      </c>
      <c r="C3">
        <v>57414</v>
      </c>
      <c r="D3">
        <v>1502</v>
      </c>
      <c r="E3" s="1">
        <v>1102277</v>
      </c>
      <c r="F3" s="1">
        <v>297926</v>
      </c>
      <c r="G3">
        <v>0.35</v>
      </c>
      <c r="H3">
        <v>0.56000000000000005</v>
      </c>
      <c r="I3">
        <v>72044000</v>
      </c>
      <c r="J3">
        <v>89956666.666666672</v>
      </c>
      <c r="K3">
        <v>348794666.66666669</v>
      </c>
      <c r="L3">
        <f t="shared" si="0"/>
        <v>19.198749433935973</v>
      </c>
      <c r="M3">
        <f t="shared" si="1"/>
        <v>198.35286284953395</v>
      </c>
      <c r="N3">
        <f t="shared" si="2"/>
        <v>2.9168566521845241E-2</v>
      </c>
      <c r="O3">
        <f t="shared" si="3"/>
        <v>1.7645321321401958E-3</v>
      </c>
      <c r="P3">
        <f t="shared" ref="P3:P66" si="4">K3/E3</f>
        <v>316.43104833600512</v>
      </c>
      <c r="Q3">
        <f t="shared" ref="Q3:Q66" si="5">J3/F3</f>
        <v>301.94298807981403</v>
      </c>
    </row>
    <row r="4" spans="1:28" x14ac:dyDescent="0.35">
      <c r="A4">
        <v>503</v>
      </c>
      <c r="B4" t="s">
        <v>2</v>
      </c>
      <c r="C4">
        <v>46118</v>
      </c>
      <c r="D4">
        <v>2378</v>
      </c>
      <c r="E4" s="1">
        <v>906108</v>
      </c>
      <c r="F4" s="1">
        <v>503336</v>
      </c>
      <c r="G4">
        <v>0.35</v>
      </c>
      <c r="H4">
        <v>0.45</v>
      </c>
      <c r="I4">
        <v>74660000</v>
      </c>
      <c r="J4">
        <v>153566666.66666666</v>
      </c>
      <c r="K4">
        <v>283634666.66666669</v>
      </c>
      <c r="L4">
        <f t="shared" si="0"/>
        <v>19.647599635717075</v>
      </c>
      <c r="M4">
        <f t="shared" si="1"/>
        <v>211.66358284272499</v>
      </c>
      <c r="N4">
        <f t="shared" si="2"/>
        <v>2.290356116489425E-2</v>
      </c>
      <c r="O4">
        <f t="shared" si="3"/>
        <v>1.6535673983184194E-3</v>
      </c>
      <c r="P4">
        <f t="shared" si="4"/>
        <v>313.02523172366506</v>
      </c>
      <c r="Q4">
        <f t="shared" si="5"/>
        <v>305.09772133657566</v>
      </c>
    </row>
    <row r="5" spans="1:28" x14ac:dyDescent="0.35">
      <c r="A5">
        <v>504</v>
      </c>
      <c r="B5" t="s">
        <v>3</v>
      </c>
      <c r="C5">
        <v>89200</v>
      </c>
      <c r="D5">
        <v>5445</v>
      </c>
      <c r="E5" s="1">
        <v>1800313</v>
      </c>
      <c r="F5" s="1">
        <v>1080928</v>
      </c>
      <c r="G5">
        <v>0.23</v>
      </c>
      <c r="H5">
        <v>0.49</v>
      </c>
      <c r="I5">
        <v>113028000</v>
      </c>
      <c r="J5">
        <v>328695000</v>
      </c>
      <c r="K5">
        <v>571252966.66666663</v>
      </c>
      <c r="L5">
        <f t="shared" si="0"/>
        <v>20.182881165919284</v>
      </c>
      <c r="M5">
        <f t="shared" si="1"/>
        <v>198.51753902662995</v>
      </c>
      <c r="N5">
        <f t="shared" si="2"/>
        <v>2.4278000547682539E-2</v>
      </c>
      <c r="O5">
        <f t="shared" si="3"/>
        <v>1.1585878060333342E-3</v>
      </c>
      <c r="P5">
        <f t="shared" si="4"/>
        <v>317.30758299621601</v>
      </c>
      <c r="Q5">
        <f t="shared" si="5"/>
        <v>304.08593356819324</v>
      </c>
    </row>
    <row r="6" spans="1:28" x14ac:dyDescent="0.35">
      <c r="A6">
        <v>505</v>
      </c>
      <c r="B6" t="s">
        <v>4</v>
      </c>
      <c r="C6">
        <v>62647</v>
      </c>
      <c r="D6">
        <v>5859</v>
      </c>
      <c r="E6" s="1">
        <v>1290282</v>
      </c>
      <c r="F6" s="1">
        <v>1186893</v>
      </c>
      <c r="G6">
        <v>0.23</v>
      </c>
      <c r="H6">
        <v>0.61</v>
      </c>
      <c r="I6">
        <v>100820000</v>
      </c>
      <c r="J6">
        <v>361215000</v>
      </c>
      <c r="K6">
        <v>405032133.33333331</v>
      </c>
      <c r="L6">
        <f t="shared" si="0"/>
        <v>20.596070043258255</v>
      </c>
      <c r="M6">
        <f t="shared" si="1"/>
        <v>202.57603686635946</v>
      </c>
      <c r="N6">
        <f t="shared" si="2"/>
        <v>2.961730071410746E-2</v>
      </c>
      <c r="O6">
        <f t="shared" si="3"/>
        <v>1.1353761459541845E-3</v>
      </c>
      <c r="P6">
        <f t="shared" si="4"/>
        <v>313.90977579578208</v>
      </c>
      <c r="Q6">
        <f t="shared" si="5"/>
        <v>304.33661669586053</v>
      </c>
    </row>
    <row r="7" spans="1:28" x14ac:dyDescent="0.35">
      <c r="A7">
        <v>506</v>
      </c>
      <c r="B7" t="s">
        <v>5</v>
      </c>
      <c r="C7">
        <v>43092</v>
      </c>
      <c r="D7">
        <v>5283</v>
      </c>
      <c r="E7" s="1">
        <v>986452</v>
      </c>
      <c r="F7" s="1">
        <v>1304193</v>
      </c>
      <c r="G7">
        <v>0.5</v>
      </c>
      <c r="H7">
        <v>0.73</v>
      </c>
      <c r="I7">
        <v>109104000</v>
      </c>
      <c r="J7">
        <v>403305000</v>
      </c>
      <c r="K7">
        <v>301573666.66666669</v>
      </c>
      <c r="L7">
        <f t="shared" si="0"/>
        <v>22.891766453169961</v>
      </c>
      <c r="M7">
        <f t="shared" si="1"/>
        <v>246.86598523566155</v>
      </c>
      <c r="N7">
        <f t="shared" si="2"/>
        <v>3.1889194811303541E-2</v>
      </c>
      <c r="O7">
        <f t="shared" si="3"/>
        <v>2.0253904138421231E-3</v>
      </c>
      <c r="P7">
        <f t="shared" si="4"/>
        <v>305.71550026424671</v>
      </c>
      <c r="Q7">
        <f t="shared" si="5"/>
        <v>309.2372064564064</v>
      </c>
    </row>
    <row r="8" spans="1:28" x14ac:dyDescent="0.35">
      <c r="A8">
        <v>507</v>
      </c>
      <c r="B8" t="s">
        <v>6</v>
      </c>
      <c r="C8">
        <v>74205</v>
      </c>
      <c r="D8">
        <v>8159</v>
      </c>
      <c r="E8" s="1">
        <v>1519009</v>
      </c>
      <c r="F8" s="1">
        <v>1689489</v>
      </c>
      <c r="G8">
        <v>0.28000000000000003</v>
      </c>
      <c r="H8">
        <v>0.59</v>
      </c>
      <c r="I8">
        <v>106488000</v>
      </c>
      <c r="J8">
        <v>518300833.33333331</v>
      </c>
      <c r="K8">
        <v>480126333.33333331</v>
      </c>
      <c r="L8">
        <f t="shared" si="0"/>
        <v>20.470439997304762</v>
      </c>
      <c r="M8">
        <f t="shared" si="1"/>
        <v>207.0705968868734</v>
      </c>
      <c r="N8">
        <f t="shared" si="2"/>
        <v>2.8822047795635183E-2</v>
      </c>
      <c r="O8">
        <f t="shared" si="3"/>
        <v>1.3521958414644901E-3</v>
      </c>
      <c r="P8">
        <f t="shared" si="4"/>
        <v>316.07866268951227</v>
      </c>
      <c r="Q8">
        <f t="shared" si="5"/>
        <v>306.77964362794506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35">
      <c r="A9">
        <v>508</v>
      </c>
      <c r="B9" t="s">
        <v>7</v>
      </c>
      <c r="C9">
        <v>29872</v>
      </c>
      <c r="D9">
        <v>903</v>
      </c>
      <c r="E9" s="1">
        <v>625789</v>
      </c>
      <c r="F9" s="1">
        <v>178944</v>
      </c>
      <c r="G9">
        <v>0.39</v>
      </c>
      <c r="H9">
        <v>0.61</v>
      </c>
      <c r="I9">
        <v>71172000</v>
      </c>
      <c r="J9">
        <v>52675000</v>
      </c>
      <c r="K9">
        <v>190424666.66666666</v>
      </c>
      <c r="L9">
        <f t="shared" si="0"/>
        <v>20.949015800749866</v>
      </c>
      <c r="M9">
        <f t="shared" si="1"/>
        <v>198.16611295681062</v>
      </c>
      <c r="N9">
        <f t="shared" si="2"/>
        <v>2.9118313041616262E-2</v>
      </c>
      <c r="O9">
        <f t="shared" si="3"/>
        <v>1.9680458690987126E-3</v>
      </c>
      <c r="P9">
        <f t="shared" si="4"/>
        <v>304.29532424933427</v>
      </c>
      <c r="Q9">
        <f t="shared" si="5"/>
        <v>294.36583512160229</v>
      </c>
    </row>
    <row r="10" spans="1:28" x14ac:dyDescent="0.35">
      <c r="A10">
        <v>509</v>
      </c>
      <c r="B10" t="s">
        <v>8</v>
      </c>
      <c r="C10">
        <v>34297</v>
      </c>
      <c r="D10">
        <v>1887</v>
      </c>
      <c r="E10" s="1">
        <v>741078</v>
      </c>
      <c r="F10" s="1">
        <v>397047</v>
      </c>
      <c r="G10">
        <v>0.39</v>
      </c>
      <c r="H10">
        <v>0.55000000000000004</v>
      </c>
      <c r="I10">
        <v>79020000</v>
      </c>
      <c r="J10">
        <v>120875000</v>
      </c>
      <c r="K10">
        <v>226902133.33333334</v>
      </c>
      <c r="L10">
        <f t="shared" si="0"/>
        <v>21.607662477767736</v>
      </c>
      <c r="M10">
        <f t="shared" si="1"/>
        <v>210.41176470588235</v>
      </c>
      <c r="N10">
        <f t="shared" si="2"/>
        <v>2.5453933324157511E-2</v>
      </c>
      <c r="O10">
        <f t="shared" si="3"/>
        <v>1.8535085266983508E-3</v>
      </c>
      <c r="P10">
        <f t="shared" si="4"/>
        <v>306.17847693944947</v>
      </c>
      <c r="Q10">
        <f t="shared" si="5"/>
        <v>304.43499132344533</v>
      </c>
    </row>
    <row r="11" spans="1:28" x14ac:dyDescent="0.35">
      <c r="A11">
        <v>510</v>
      </c>
      <c r="B11" t="s">
        <v>9</v>
      </c>
      <c r="C11">
        <v>67437</v>
      </c>
      <c r="D11">
        <v>6085</v>
      </c>
      <c r="E11" s="1">
        <v>1360549</v>
      </c>
      <c r="F11" s="1">
        <v>1250709</v>
      </c>
      <c r="G11">
        <v>0.33</v>
      </c>
      <c r="H11">
        <v>0.56000000000000005</v>
      </c>
      <c r="I11">
        <v>96024000</v>
      </c>
      <c r="J11">
        <v>383308333.33333331</v>
      </c>
      <c r="K11">
        <v>429373333.33333331</v>
      </c>
      <c r="L11">
        <f t="shared" si="0"/>
        <v>20.175111585628066</v>
      </c>
      <c r="M11">
        <f t="shared" si="1"/>
        <v>205.53968775677896</v>
      </c>
      <c r="N11">
        <f t="shared" si="2"/>
        <v>2.7756971634244711E-2</v>
      </c>
      <c r="O11">
        <f t="shared" si="3"/>
        <v>1.6055293437562215E-3</v>
      </c>
      <c r="P11">
        <f t="shared" si="4"/>
        <v>315.58829070715814</v>
      </c>
      <c r="Q11">
        <f t="shared" si="5"/>
        <v>306.47283527449895</v>
      </c>
    </row>
    <row r="12" spans="1:28" x14ac:dyDescent="0.35">
      <c r="A12">
        <v>511</v>
      </c>
      <c r="B12" t="s">
        <v>10</v>
      </c>
      <c r="C12">
        <v>47568</v>
      </c>
      <c r="D12">
        <v>5063</v>
      </c>
      <c r="E12" s="1">
        <v>946955</v>
      </c>
      <c r="F12" s="1">
        <v>1091239</v>
      </c>
      <c r="G12">
        <v>0.39</v>
      </c>
      <c r="H12">
        <v>0.61</v>
      </c>
      <c r="I12">
        <v>78584000</v>
      </c>
      <c r="J12">
        <v>335751666.66666669</v>
      </c>
      <c r="K12">
        <v>296102000</v>
      </c>
      <c r="L12">
        <f t="shared" si="0"/>
        <v>19.907395728220653</v>
      </c>
      <c r="M12">
        <f t="shared" si="1"/>
        <v>215.53209559549674</v>
      </c>
      <c r="N12">
        <f t="shared" si="2"/>
        <v>3.0641878441953419E-2</v>
      </c>
      <c r="O12">
        <f t="shared" si="3"/>
        <v>1.809475284516041E-3</v>
      </c>
      <c r="P12">
        <f t="shared" si="4"/>
        <v>312.68856492652765</v>
      </c>
      <c r="Q12">
        <f t="shared" si="5"/>
        <v>307.67931375864197</v>
      </c>
    </row>
    <row r="13" spans="1:28" x14ac:dyDescent="0.35">
      <c r="A13">
        <v>512</v>
      </c>
      <c r="B13" t="s">
        <v>11</v>
      </c>
      <c r="C13">
        <v>51292</v>
      </c>
      <c r="D13">
        <v>4393</v>
      </c>
      <c r="E13" s="1">
        <v>1101766</v>
      </c>
      <c r="F13" s="1">
        <v>994161</v>
      </c>
      <c r="G13">
        <v>0.41</v>
      </c>
      <c r="H13">
        <v>0.62</v>
      </c>
      <c r="I13">
        <v>106488000</v>
      </c>
      <c r="J13">
        <v>304768333.33333331</v>
      </c>
      <c r="K13">
        <v>341504666.66666669</v>
      </c>
      <c r="L13">
        <f t="shared" si="0"/>
        <v>21.480269827653434</v>
      </c>
      <c r="M13">
        <f t="shared" si="1"/>
        <v>226.30571363532894</v>
      </c>
      <c r="N13">
        <f t="shared" si="2"/>
        <v>2.8863697010072922E-2</v>
      </c>
      <c r="O13">
        <f t="shared" si="3"/>
        <v>1.8117085663187349E-3</v>
      </c>
      <c r="P13">
        <f t="shared" si="4"/>
        <v>309.96115932663258</v>
      </c>
      <c r="Q13">
        <f t="shared" si="5"/>
        <v>306.55832740706313</v>
      </c>
    </row>
    <row r="14" spans="1:28" x14ac:dyDescent="0.35">
      <c r="A14">
        <v>513</v>
      </c>
      <c r="B14" t="s">
        <v>12</v>
      </c>
      <c r="C14">
        <v>27841</v>
      </c>
      <c r="D14">
        <v>2080</v>
      </c>
      <c r="E14" s="1">
        <v>617502</v>
      </c>
      <c r="F14" s="1">
        <v>425786</v>
      </c>
      <c r="G14">
        <v>0.35</v>
      </c>
      <c r="H14">
        <v>0.74</v>
      </c>
      <c r="I14">
        <v>73352000</v>
      </c>
      <c r="J14">
        <v>129340000</v>
      </c>
      <c r="K14">
        <v>187432800</v>
      </c>
      <c r="L14">
        <f t="shared" si="0"/>
        <v>22.179591250314285</v>
      </c>
      <c r="M14">
        <f t="shared" si="1"/>
        <v>204.7048076923077</v>
      </c>
      <c r="N14">
        <f t="shared" si="2"/>
        <v>3.3364005298768262E-2</v>
      </c>
      <c r="O14">
        <f t="shared" si="3"/>
        <v>1.7097790909048206E-3</v>
      </c>
      <c r="P14">
        <f t="shared" si="4"/>
        <v>303.53391567962535</v>
      </c>
      <c r="Q14">
        <f t="shared" si="5"/>
        <v>303.76762035388668</v>
      </c>
    </row>
    <row r="15" spans="1:28" x14ac:dyDescent="0.35">
      <c r="A15">
        <v>514</v>
      </c>
      <c r="B15" t="s">
        <v>13</v>
      </c>
      <c r="C15">
        <v>35925</v>
      </c>
      <c r="D15">
        <v>2655</v>
      </c>
      <c r="E15" s="1">
        <v>727638</v>
      </c>
      <c r="F15" s="1">
        <v>530138</v>
      </c>
      <c r="G15">
        <v>0.31</v>
      </c>
      <c r="H15">
        <v>0.47</v>
      </c>
      <c r="I15">
        <v>71172000</v>
      </c>
      <c r="J15">
        <v>162023333.33333334</v>
      </c>
      <c r="K15">
        <v>224604166.66666666</v>
      </c>
      <c r="L15">
        <f t="shared" si="0"/>
        <v>20.25436325678497</v>
      </c>
      <c r="M15">
        <f t="shared" si="1"/>
        <v>199.675329566855</v>
      </c>
      <c r="N15">
        <f t="shared" si="2"/>
        <v>2.3204876600727283E-2</v>
      </c>
      <c r="O15">
        <f t="shared" si="3"/>
        <v>1.5525202871705102E-3</v>
      </c>
      <c r="P15">
        <f t="shared" si="4"/>
        <v>308.67569679794991</v>
      </c>
      <c r="Q15">
        <f t="shared" si="5"/>
        <v>305.62482473117063</v>
      </c>
    </row>
    <row r="16" spans="1:28" x14ac:dyDescent="0.35">
      <c r="A16">
        <v>515</v>
      </c>
      <c r="B16" t="s">
        <v>14</v>
      </c>
      <c r="C16">
        <v>5341</v>
      </c>
      <c r="D16">
        <v>654</v>
      </c>
      <c r="E16" s="1">
        <v>174040</v>
      </c>
      <c r="F16" s="1">
        <v>151261</v>
      </c>
      <c r="G16">
        <v>0.39</v>
      </c>
      <c r="H16">
        <v>0.75</v>
      </c>
      <c r="I16">
        <v>60272000</v>
      </c>
      <c r="J16">
        <v>45568333.333333336</v>
      </c>
      <c r="K16">
        <v>42597866.666666664</v>
      </c>
      <c r="L16">
        <f t="shared" si="0"/>
        <v>32.585658116457594</v>
      </c>
      <c r="M16">
        <f t="shared" si="1"/>
        <v>231.28593272171253</v>
      </c>
      <c r="N16">
        <f t="shared" si="2"/>
        <v>2.3016260629740288E-2</v>
      </c>
      <c r="O16">
        <f t="shared" si="3"/>
        <v>1.6862244729308944E-3</v>
      </c>
      <c r="P16">
        <f t="shared" si="4"/>
        <v>244.75905922010264</v>
      </c>
      <c r="Q16">
        <f t="shared" si="5"/>
        <v>301.25632736351957</v>
      </c>
    </row>
    <row r="17" spans="1:17" x14ac:dyDescent="0.35">
      <c r="A17">
        <v>517</v>
      </c>
      <c r="B17" t="s">
        <v>15</v>
      </c>
      <c r="C17">
        <v>94436</v>
      </c>
      <c r="D17">
        <v>8553</v>
      </c>
      <c r="E17" s="1">
        <v>1921634</v>
      </c>
      <c r="F17" s="1">
        <v>1847205</v>
      </c>
      <c r="G17">
        <v>0.3</v>
      </c>
      <c r="H17">
        <v>0.54</v>
      </c>
      <c r="I17">
        <v>125236000</v>
      </c>
      <c r="J17">
        <v>566346666.66666663</v>
      </c>
      <c r="K17">
        <v>608937333.33333337</v>
      </c>
      <c r="L17">
        <f t="shared" si="0"/>
        <v>20.348532339362109</v>
      </c>
      <c r="M17">
        <f t="shared" si="1"/>
        <v>215.97158891616976</v>
      </c>
      <c r="N17">
        <f t="shared" si="2"/>
        <v>2.6537540447348455E-2</v>
      </c>
      <c r="O17">
        <f t="shared" si="3"/>
        <v>1.3890715973592536E-3</v>
      </c>
      <c r="P17">
        <f t="shared" si="4"/>
        <v>316.88517862055591</v>
      </c>
      <c r="Q17">
        <f t="shared" si="5"/>
        <v>306.59654270460868</v>
      </c>
    </row>
    <row r="18" spans="1:17" x14ac:dyDescent="0.35">
      <c r="A18">
        <v>518</v>
      </c>
      <c r="B18" t="s">
        <v>16</v>
      </c>
      <c r="C18">
        <v>55098</v>
      </c>
      <c r="D18">
        <v>4972</v>
      </c>
      <c r="E18" s="1">
        <v>1134569</v>
      </c>
      <c r="F18" s="1">
        <v>1066977</v>
      </c>
      <c r="G18">
        <v>0.34</v>
      </c>
      <c r="H18">
        <v>0.59</v>
      </c>
      <c r="I18">
        <v>87304000</v>
      </c>
      <c r="J18">
        <v>326933333.33333331</v>
      </c>
      <c r="K18">
        <v>355769133.33333331</v>
      </c>
      <c r="L18">
        <f t="shared" si="0"/>
        <v>20.591836364296345</v>
      </c>
      <c r="M18">
        <f t="shared" si="1"/>
        <v>214.59714400643605</v>
      </c>
      <c r="N18">
        <f t="shared" si="2"/>
        <v>2.8652131337979444E-2</v>
      </c>
      <c r="O18">
        <f t="shared" si="3"/>
        <v>1.5843640490844696E-3</v>
      </c>
      <c r="P18">
        <f t="shared" si="4"/>
        <v>313.57205540899963</v>
      </c>
      <c r="Q18">
        <f t="shared" si="5"/>
        <v>306.41085359228299</v>
      </c>
    </row>
    <row r="19" spans="1:17" x14ac:dyDescent="0.35">
      <c r="A19">
        <v>519</v>
      </c>
      <c r="B19" t="s">
        <v>17</v>
      </c>
      <c r="C19">
        <v>56986</v>
      </c>
      <c r="D19">
        <v>8191</v>
      </c>
      <c r="E19" s="1">
        <v>1236778</v>
      </c>
      <c r="F19" s="1">
        <v>1815084</v>
      </c>
      <c r="G19">
        <v>0.38</v>
      </c>
      <c r="H19">
        <v>0.56000000000000005</v>
      </c>
      <c r="I19">
        <v>117824000</v>
      </c>
      <c r="J19">
        <v>556558333.33333337</v>
      </c>
      <c r="K19">
        <v>383982333.33333331</v>
      </c>
      <c r="L19">
        <f t="shared" si="0"/>
        <v>21.703190257256168</v>
      </c>
      <c r="M19">
        <f t="shared" si="1"/>
        <v>221.59492125503601</v>
      </c>
      <c r="N19">
        <f t="shared" si="2"/>
        <v>2.5802658197348276E-2</v>
      </c>
      <c r="O19">
        <f t="shared" si="3"/>
        <v>1.7148407456624598E-3</v>
      </c>
      <c r="P19">
        <f t="shared" si="4"/>
        <v>310.46989300693684</v>
      </c>
      <c r="Q19">
        <f t="shared" si="5"/>
        <v>306.62951870730689</v>
      </c>
    </row>
    <row r="20" spans="1:17" x14ac:dyDescent="0.35">
      <c r="A20">
        <v>520</v>
      </c>
      <c r="B20" t="s">
        <v>18</v>
      </c>
      <c r="C20">
        <v>15493</v>
      </c>
      <c r="D20">
        <v>2867</v>
      </c>
      <c r="E20" s="1">
        <v>345761</v>
      </c>
      <c r="F20" s="1">
        <v>627586</v>
      </c>
      <c r="G20">
        <v>0.28000000000000003</v>
      </c>
      <c r="H20">
        <v>0.45</v>
      </c>
      <c r="I20">
        <v>62452000</v>
      </c>
      <c r="J20">
        <v>192801666.66666666</v>
      </c>
      <c r="K20">
        <v>99493666.666666672</v>
      </c>
      <c r="L20">
        <f t="shared" si="0"/>
        <v>22.317240043890788</v>
      </c>
      <c r="M20">
        <f t="shared" si="1"/>
        <v>218.89989536100452</v>
      </c>
      <c r="N20">
        <f t="shared" si="2"/>
        <v>2.0163783654026917E-2</v>
      </c>
      <c r="O20">
        <f t="shared" si="3"/>
        <v>1.2791234986121425E-3</v>
      </c>
      <c r="P20">
        <f t="shared" si="4"/>
        <v>287.7527155077255</v>
      </c>
      <c r="Q20">
        <f t="shared" si="5"/>
        <v>307.21154816497921</v>
      </c>
    </row>
    <row r="21" spans="1:17" x14ac:dyDescent="0.35">
      <c r="A21">
        <v>521</v>
      </c>
      <c r="B21" t="s">
        <v>19</v>
      </c>
      <c r="C21">
        <v>136810</v>
      </c>
      <c r="D21">
        <v>9903</v>
      </c>
      <c r="E21" s="1">
        <v>2768450</v>
      </c>
      <c r="F21" s="1">
        <v>2681435</v>
      </c>
      <c r="G21">
        <v>0.27</v>
      </c>
      <c r="H21">
        <v>0.6</v>
      </c>
      <c r="I21">
        <v>160552000</v>
      </c>
      <c r="J21">
        <v>829588333.33333337</v>
      </c>
      <c r="K21">
        <v>883285666.66666663</v>
      </c>
      <c r="L21">
        <f t="shared" si="0"/>
        <v>20.235728382428185</v>
      </c>
      <c r="M21">
        <f t="shared" si="1"/>
        <v>270.76996869635462</v>
      </c>
      <c r="N21">
        <f t="shared" si="2"/>
        <v>2.9650526467879138E-2</v>
      </c>
      <c r="O21">
        <f t="shared" si="3"/>
        <v>9.9715637335978701E-4</v>
      </c>
      <c r="P21">
        <f t="shared" si="4"/>
        <v>319.05422408447566</v>
      </c>
      <c r="Q21">
        <f t="shared" si="5"/>
        <v>309.38222755104391</v>
      </c>
    </row>
    <row r="22" spans="1:17" x14ac:dyDescent="0.35">
      <c r="A22">
        <v>522</v>
      </c>
      <c r="B22" t="s">
        <v>20</v>
      </c>
      <c r="C22">
        <v>57410</v>
      </c>
      <c r="D22">
        <v>5083</v>
      </c>
      <c r="E22" s="1">
        <v>1192092</v>
      </c>
      <c r="F22" s="1">
        <v>1051218</v>
      </c>
      <c r="G22">
        <v>0.34</v>
      </c>
      <c r="H22">
        <v>0.56999999999999995</v>
      </c>
      <c r="I22">
        <v>86868000</v>
      </c>
      <c r="J22">
        <v>323241666.66666669</v>
      </c>
      <c r="K22">
        <v>375632666.66666669</v>
      </c>
      <c r="L22">
        <f t="shared" si="0"/>
        <v>20.764535795157638</v>
      </c>
      <c r="M22">
        <f t="shared" si="1"/>
        <v>206.81054495376745</v>
      </c>
      <c r="N22">
        <f t="shared" si="2"/>
        <v>2.74506497820638E-2</v>
      </c>
      <c r="O22">
        <f t="shared" si="3"/>
        <v>1.644016750093701E-3</v>
      </c>
      <c r="P22">
        <f t="shared" si="4"/>
        <v>315.10375597409148</v>
      </c>
      <c r="Q22">
        <f t="shared" si="5"/>
        <v>307.49251503176953</v>
      </c>
    </row>
    <row r="23" spans="1:17" x14ac:dyDescent="0.35">
      <c r="A23">
        <v>523</v>
      </c>
      <c r="B23" t="s">
        <v>21</v>
      </c>
      <c r="C23">
        <v>81468</v>
      </c>
      <c r="D23">
        <v>4538</v>
      </c>
      <c r="E23" s="1">
        <v>1716491</v>
      </c>
      <c r="F23" s="1">
        <v>1071100</v>
      </c>
      <c r="G23">
        <v>0.41</v>
      </c>
      <c r="H23">
        <v>0.52</v>
      </c>
      <c r="I23">
        <v>126544000</v>
      </c>
      <c r="J23">
        <v>328796666.66666669</v>
      </c>
      <c r="K23">
        <v>540211633.33333337</v>
      </c>
      <c r="L23">
        <f t="shared" si="0"/>
        <v>21.069511955614473</v>
      </c>
      <c r="M23">
        <f t="shared" si="1"/>
        <v>236.02908770383428</v>
      </c>
      <c r="N23">
        <f t="shared" si="2"/>
        <v>2.4680210965277422E-2</v>
      </c>
      <c r="O23">
        <f t="shared" si="3"/>
        <v>1.7370740360377183E-3</v>
      </c>
      <c r="P23">
        <f t="shared" si="4"/>
        <v>314.71859353374612</v>
      </c>
      <c r="Q23">
        <f t="shared" si="5"/>
        <v>306.97102667040116</v>
      </c>
    </row>
    <row r="24" spans="1:17" x14ac:dyDescent="0.35">
      <c r="A24">
        <v>524</v>
      </c>
      <c r="B24" t="s">
        <v>22</v>
      </c>
      <c r="C24">
        <v>21459</v>
      </c>
      <c r="D24">
        <v>1383</v>
      </c>
      <c r="E24" s="1">
        <v>502736</v>
      </c>
      <c r="F24" s="1">
        <v>279634</v>
      </c>
      <c r="G24">
        <v>0.37</v>
      </c>
      <c r="H24">
        <v>0.49</v>
      </c>
      <c r="I24">
        <v>72480000</v>
      </c>
      <c r="J24">
        <v>84851666.666666672</v>
      </c>
      <c r="K24">
        <v>149062733.33333334</v>
      </c>
      <c r="L24">
        <f t="shared" si="0"/>
        <v>23.427745934106902</v>
      </c>
      <c r="M24">
        <f t="shared" si="1"/>
        <v>202.1937816341287</v>
      </c>
      <c r="N24">
        <f t="shared" si="2"/>
        <v>2.091537108939881E-2</v>
      </c>
      <c r="O24">
        <f t="shared" si="3"/>
        <v>1.8299276911963496E-3</v>
      </c>
      <c r="P24">
        <f t="shared" si="4"/>
        <v>296.50300223841805</v>
      </c>
      <c r="Q24">
        <f t="shared" si="5"/>
        <v>303.43830387816456</v>
      </c>
    </row>
    <row r="25" spans="1:17" x14ac:dyDescent="0.35">
      <c r="A25">
        <v>525</v>
      </c>
      <c r="B25" t="s">
        <v>23</v>
      </c>
      <c r="C25">
        <v>28536</v>
      </c>
      <c r="D25">
        <v>3138</v>
      </c>
      <c r="E25" s="1">
        <v>676448</v>
      </c>
      <c r="F25" s="1">
        <v>688787</v>
      </c>
      <c r="G25">
        <v>0.31</v>
      </c>
      <c r="H25">
        <v>0.52</v>
      </c>
      <c r="I25">
        <v>89484000</v>
      </c>
      <c r="J25">
        <v>210872500</v>
      </c>
      <c r="K25">
        <v>202717766.66666666</v>
      </c>
      <c r="L25">
        <f t="shared" si="0"/>
        <v>23.70507429212223</v>
      </c>
      <c r="M25">
        <f t="shared" si="1"/>
        <v>219.49872530274061</v>
      </c>
      <c r="N25">
        <f t="shared" si="2"/>
        <v>2.1936231609820712E-2</v>
      </c>
      <c r="O25">
        <f t="shared" si="3"/>
        <v>1.4123088850399325E-3</v>
      </c>
      <c r="P25">
        <f t="shared" si="4"/>
        <v>299.67974872668208</v>
      </c>
      <c r="Q25">
        <f t="shared" si="5"/>
        <v>306.15052258535655</v>
      </c>
    </row>
    <row r="26" spans="1:17" x14ac:dyDescent="0.35">
      <c r="A26">
        <v>526</v>
      </c>
      <c r="B26" t="s">
        <v>24</v>
      </c>
      <c r="C26">
        <v>73325</v>
      </c>
      <c r="D26">
        <v>4611</v>
      </c>
      <c r="E26" s="1">
        <v>1515301</v>
      </c>
      <c r="F26" s="1">
        <v>941322</v>
      </c>
      <c r="G26">
        <v>0.36</v>
      </c>
      <c r="H26">
        <v>0.51</v>
      </c>
      <c r="I26">
        <v>113900000</v>
      </c>
      <c r="J26">
        <v>284725000</v>
      </c>
      <c r="K26">
        <v>476708333.33333331</v>
      </c>
      <c r="L26">
        <f t="shared" si="0"/>
        <v>20.665543811796795</v>
      </c>
      <c r="M26">
        <f t="shared" si="1"/>
        <v>204.14703968770331</v>
      </c>
      <c r="N26">
        <f t="shared" si="2"/>
        <v>2.4678760193519309E-2</v>
      </c>
      <c r="O26">
        <f t="shared" si="3"/>
        <v>1.763434828889583E-3</v>
      </c>
      <c r="P26">
        <f t="shared" si="4"/>
        <v>314.59646191306763</v>
      </c>
      <c r="Q26">
        <f t="shared" si="5"/>
        <v>302.47354252848652</v>
      </c>
    </row>
    <row r="27" spans="1:17" x14ac:dyDescent="0.35">
      <c r="A27">
        <v>527</v>
      </c>
      <c r="B27" t="s">
        <v>25</v>
      </c>
      <c r="C27">
        <v>48213</v>
      </c>
      <c r="D27">
        <v>2284</v>
      </c>
      <c r="E27" s="1">
        <v>1012144</v>
      </c>
      <c r="F27" s="1">
        <v>463829</v>
      </c>
      <c r="G27">
        <v>0.34</v>
      </c>
      <c r="H27">
        <v>0.44</v>
      </c>
      <c r="I27">
        <v>91664000</v>
      </c>
      <c r="J27">
        <v>138363333.33333334</v>
      </c>
      <c r="K27">
        <v>314157000</v>
      </c>
      <c r="L27">
        <f t="shared" si="0"/>
        <v>20.993176114326012</v>
      </c>
      <c r="M27">
        <f t="shared" si="1"/>
        <v>203.07749562171628</v>
      </c>
      <c r="N27">
        <f t="shared" si="2"/>
        <v>2.0959191577483046E-2</v>
      </c>
      <c r="O27">
        <f t="shared" si="3"/>
        <v>1.6742377039814244E-3</v>
      </c>
      <c r="P27">
        <f t="shared" si="4"/>
        <v>310.38765234986329</v>
      </c>
      <c r="Q27">
        <f t="shared" si="5"/>
        <v>298.30677541364025</v>
      </c>
    </row>
    <row r="28" spans="1:17" x14ac:dyDescent="0.35">
      <c r="A28">
        <v>528</v>
      </c>
      <c r="B28" t="s">
        <v>26</v>
      </c>
      <c r="C28">
        <v>11116</v>
      </c>
      <c r="D28">
        <v>876</v>
      </c>
      <c r="E28" s="1">
        <v>253094</v>
      </c>
      <c r="F28" s="1">
        <v>173093</v>
      </c>
      <c r="G28">
        <v>0.53</v>
      </c>
      <c r="H28">
        <v>0.6</v>
      </c>
      <c r="I28">
        <v>55476000</v>
      </c>
      <c r="J28">
        <v>51228333.333333336</v>
      </c>
      <c r="K28">
        <v>69982566.666666672</v>
      </c>
      <c r="L28">
        <f t="shared" si="0"/>
        <v>22.768441885570351</v>
      </c>
      <c r="M28">
        <f t="shared" si="1"/>
        <v>197.5947488584475</v>
      </c>
      <c r="N28">
        <f t="shared" si="2"/>
        <v>2.6352264376081611E-2</v>
      </c>
      <c r="O28">
        <f t="shared" si="3"/>
        <v>2.6822575147464078E-3</v>
      </c>
      <c r="P28">
        <f t="shared" si="4"/>
        <v>276.50820116899916</v>
      </c>
      <c r="Q28">
        <f t="shared" si="5"/>
        <v>295.95843467577163</v>
      </c>
    </row>
    <row r="29" spans="1:17" x14ac:dyDescent="0.35">
      <c r="A29">
        <v>529</v>
      </c>
      <c r="B29" t="s">
        <v>27</v>
      </c>
      <c r="C29">
        <v>64056</v>
      </c>
      <c r="D29">
        <v>4252</v>
      </c>
      <c r="E29" s="1">
        <v>1304628</v>
      </c>
      <c r="F29" s="1">
        <v>942051</v>
      </c>
      <c r="G29">
        <v>0.37</v>
      </c>
      <c r="H29">
        <v>0.52</v>
      </c>
      <c r="I29">
        <v>83816000</v>
      </c>
      <c r="J29">
        <v>289927500</v>
      </c>
      <c r="K29">
        <v>413489200</v>
      </c>
      <c r="L29">
        <f t="shared" si="0"/>
        <v>20.366991382540277</v>
      </c>
      <c r="M29">
        <f t="shared" si="1"/>
        <v>221.55479774223895</v>
      </c>
      <c r="N29">
        <f t="shared" si="2"/>
        <v>2.5531507832117661E-2</v>
      </c>
      <c r="O29">
        <f t="shared" si="3"/>
        <v>1.6700157422475004E-3</v>
      </c>
      <c r="P29">
        <f t="shared" si="4"/>
        <v>316.94030788853223</v>
      </c>
      <c r="Q29">
        <f t="shared" si="5"/>
        <v>307.7620001464889</v>
      </c>
    </row>
    <row r="30" spans="1:17" x14ac:dyDescent="0.35">
      <c r="A30">
        <v>530</v>
      </c>
      <c r="B30" t="s">
        <v>28</v>
      </c>
      <c r="C30">
        <v>70754</v>
      </c>
      <c r="D30">
        <v>5511</v>
      </c>
      <c r="E30" s="1">
        <v>1474082</v>
      </c>
      <c r="F30" s="1">
        <v>1147719</v>
      </c>
      <c r="G30">
        <v>0.31</v>
      </c>
      <c r="H30">
        <v>0.65</v>
      </c>
      <c r="I30">
        <v>109540000</v>
      </c>
      <c r="J30">
        <v>349535833.33333331</v>
      </c>
      <c r="K30">
        <v>463887533.33333331</v>
      </c>
      <c r="L30">
        <f t="shared" si="0"/>
        <v>20.833903383554286</v>
      </c>
      <c r="M30">
        <f t="shared" si="1"/>
        <v>208.25966249319544</v>
      </c>
      <c r="N30">
        <f t="shared" si="2"/>
        <v>3.1199146316147949E-2</v>
      </c>
      <c r="O30">
        <f t="shared" si="3"/>
        <v>1.4885263727445481E-3</v>
      </c>
      <c r="P30">
        <f t="shared" si="4"/>
        <v>314.6958807809425</v>
      </c>
      <c r="Q30">
        <f t="shared" si="5"/>
        <v>304.54826776705215</v>
      </c>
    </row>
    <row r="31" spans="1:17" x14ac:dyDescent="0.35">
      <c r="A31">
        <v>531</v>
      </c>
      <c r="B31" t="s">
        <v>29</v>
      </c>
      <c r="C31">
        <v>61093</v>
      </c>
      <c r="D31">
        <v>2461</v>
      </c>
      <c r="E31" s="1">
        <v>1201910</v>
      </c>
      <c r="F31" s="1">
        <v>483603</v>
      </c>
      <c r="G31">
        <v>0.41</v>
      </c>
      <c r="H31">
        <v>0.59</v>
      </c>
      <c r="I31">
        <v>80764000</v>
      </c>
      <c r="J31">
        <v>147505000</v>
      </c>
      <c r="K31">
        <v>380053700</v>
      </c>
      <c r="L31">
        <f t="shared" si="0"/>
        <v>19.673448676607794</v>
      </c>
      <c r="M31">
        <f t="shared" si="1"/>
        <v>196.50670459162941</v>
      </c>
      <c r="N31">
        <f t="shared" si="2"/>
        <v>2.9989658127480424E-2</v>
      </c>
      <c r="O31">
        <f t="shared" si="3"/>
        <v>2.086442805358941E-3</v>
      </c>
      <c r="P31">
        <f t="shared" si="4"/>
        <v>316.20811874433195</v>
      </c>
      <c r="Q31">
        <f t="shared" si="5"/>
        <v>305.01258263492991</v>
      </c>
    </row>
    <row r="32" spans="1:17" x14ac:dyDescent="0.35">
      <c r="A32">
        <v>532</v>
      </c>
      <c r="B32" t="s">
        <v>30</v>
      </c>
      <c r="C32">
        <v>108935</v>
      </c>
      <c r="D32">
        <v>11532</v>
      </c>
      <c r="E32" s="1">
        <v>2310492</v>
      </c>
      <c r="F32" s="1">
        <v>2603404</v>
      </c>
      <c r="G32">
        <v>0.43</v>
      </c>
      <c r="H32">
        <v>0.62</v>
      </c>
      <c r="I32">
        <v>159244000</v>
      </c>
      <c r="J32">
        <v>802015000</v>
      </c>
      <c r="K32">
        <v>730977366.66666663</v>
      </c>
      <c r="L32">
        <f t="shared" si="0"/>
        <v>21.209822371138753</v>
      </c>
      <c r="M32">
        <f t="shared" si="1"/>
        <v>225.75476933749567</v>
      </c>
      <c r="N32">
        <f t="shared" si="2"/>
        <v>2.9231739387108893E-2</v>
      </c>
      <c r="O32">
        <f t="shared" si="3"/>
        <v>1.9047216644055244E-3</v>
      </c>
      <c r="P32">
        <f t="shared" si="4"/>
        <v>316.37303512267806</v>
      </c>
      <c r="Q32">
        <f t="shared" si="5"/>
        <v>308.06398084968754</v>
      </c>
    </row>
    <row r="33" spans="1:17" x14ac:dyDescent="0.35">
      <c r="A33">
        <v>533</v>
      </c>
      <c r="B33" t="s">
        <v>31</v>
      </c>
      <c r="C33">
        <v>14130</v>
      </c>
      <c r="D33">
        <v>1565</v>
      </c>
      <c r="E33" s="1">
        <v>351397</v>
      </c>
      <c r="F33" s="1">
        <v>318530</v>
      </c>
      <c r="G33">
        <v>0.46</v>
      </c>
      <c r="H33">
        <v>0.73</v>
      </c>
      <c r="I33">
        <v>69428000</v>
      </c>
      <c r="J33">
        <v>97501666.666666672</v>
      </c>
      <c r="K33">
        <v>99420000</v>
      </c>
      <c r="L33">
        <f t="shared" si="0"/>
        <v>24.868860580325549</v>
      </c>
      <c r="M33">
        <f t="shared" si="1"/>
        <v>203.5335463258786</v>
      </c>
      <c r="N33">
        <f t="shared" si="2"/>
        <v>2.9353978548479355E-2</v>
      </c>
      <c r="O33">
        <f t="shared" si="3"/>
        <v>2.2600696951621513E-3</v>
      </c>
      <c r="P33">
        <f t="shared" si="4"/>
        <v>282.92785652694818</v>
      </c>
      <c r="Q33">
        <f t="shared" si="5"/>
        <v>306.09884992517715</v>
      </c>
    </row>
    <row r="34" spans="1:17" x14ac:dyDescent="0.35">
      <c r="A34">
        <v>534</v>
      </c>
      <c r="B34" t="s">
        <v>32</v>
      </c>
      <c r="C34">
        <v>39430</v>
      </c>
      <c r="D34">
        <v>2766</v>
      </c>
      <c r="E34" s="1">
        <v>865198</v>
      </c>
      <c r="F34" s="1">
        <v>597945</v>
      </c>
      <c r="G34">
        <v>0.37</v>
      </c>
      <c r="H34">
        <v>0.61</v>
      </c>
      <c r="I34">
        <v>81200000</v>
      </c>
      <c r="J34">
        <v>181791666.66666666</v>
      </c>
      <c r="K34">
        <v>267701333.33333334</v>
      </c>
      <c r="L34">
        <f t="shared" ref="L34:L65" si="6">E34/C34</f>
        <v>21.942632513314734</v>
      </c>
      <c r="M34">
        <f t="shared" ref="M34:M65" si="7">F34/D34</f>
        <v>216.17678958785248</v>
      </c>
      <c r="N34">
        <f t="shared" ref="N34:N65" si="8">H34/L34</f>
        <v>2.7799763753499199E-2</v>
      </c>
      <c r="O34">
        <f t="shared" ref="O34:O65" si="9">G34/M34</f>
        <v>1.7115621001931617E-3</v>
      </c>
      <c r="P34">
        <f t="shared" si="4"/>
        <v>309.41048561523877</v>
      </c>
      <c r="Q34">
        <f t="shared" si="5"/>
        <v>304.02740497314409</v>
      </c>
    </row>
    <row r="35" spans="1:17" x14ac:dyDescent="0.35">
      <c r="A35">
        <v>535</v>
      </c>
      <c r="B35" t="s">
        <v>33</v>
      </c>
      <c r="C35">
        <v>90596</v>
      </c>
      <c r="D35">
        <v>5852</v>
      </c>
      <c r="E35" s="1">
        <v>1819075</v>
      </c>
      <c r="F35" s="1">
        <v>1236691</v>
      </c>
      <c r="G35">
        <v>0.28999999999999998</v>
      </c>
      <c r="H35">
        <v>0.5</v>
      </c>
      <c r="I35">
        <v>115208000</v>
      </c>
      <c r="J35">
        <v>375836666.66666669</v>
      </c>
      <c r="K35">
        <v>577277333.33333337</v>
      </c>
      <c r="L35">
        <f t="shared" si="6"/>
        <v>20.078976996776898</v>
      </c>
      <c r="M35">
        <f t="shared" si="7"/>
        <v>211.32792207792207</v>
      </c>
      <c r="N35">
        <f t="shared" si="8"/>
        <v>2.4901667056058712E-2</v>
      </c>
      <c r="O35">
        <f t="shared" si="9"/>
        <v>1.3722748851572463E-3</v>
      </c>
      <c r="P35">
        <f t="shared" si="4"/>
        <v>317.34663679800633</v>
      </c>
      <c r="Q35">
        <f t="shared" si="5"/>
        <v>303.90507140964615</v>
      </c>
    </row>
    <row r="36" spans="1:17" x14ac:dyDescent="0.35">
      <c r="A36">
        <v>536</v>
      </c>
      <c r="B36" t="s">
        <v>34</v>
      </c>
      <c r="C36">
        <v>56565</v>
      </c>
      <c r="D36">
        <v>8843</v>
      </c>
      <c r="E36" s="1">
        <v>1156343</v>
      </c>
      <c r="F36" s="1">
        <v>2595832</v>
      </c>
      <c r="G36">
        <v>0.31</v>
      </c>
      <c r="H36">
        <v>0.54</v>
      </c>
      <c r="I36">
        <v>86432000</v>
      </c>
      <c r="J36">
        <v>817907500</v>
      </c>
      <c r="K36">
        <v>364749800</v>
      </c>
      <c r="L36">
        <f t="shared" si="6"/>
        <v>20.442729603111463</v>
      </c>
      <c r="M36">
        <f t="shared" si="7"/>
        <v>293.5465339816804</v>
      </c>
      <c r="N36">
        <f t="shared" si="8"/>
        <v>2.6415259140237804E-2</v>
      </c>
      <c r="O36">
        <f t="shared" si="9"/>
        <v>1.0560506226905287E-3</v>
      </c>
      <c r="P36">
        <f t="shared" si="4"/>
        <v>315.43391536940163</v>
      </c>
      <c r="Q36">
        <f t="shared" si="5"/>
        <v>315.08491304522016</v>
      </c>
    </row>
    <row r="37" spans="1:17" x14ac:dyDescent="0.35">
      <c r="A37">
        <v>537</v>
      </c>
      <c r="B37" t="s">
        <v>35</v>
      </c>
      <c r="C37">
        <v>30216</v>
      </c>
      <c r="D37">
        <v>3360</v>
      </c>
      <c r="E37" s="1">
        <v>694633</v>
      </c>
      <c r="F37" s="1">
        <v>774725</v>
      </c>
      <c r="G37">
        <v>0.46</v>
      </c>
      <c r="H37">
        <v>0.75</v>
      </c>
      <c r="I37">
        <v>89920000</v>
      </c>
      <c r="J37">
        <v>238593333.33333334</v>
      </c>
      <c r="K37">
        <v>209123733.33333334</v>
      </c>
      <c r="L37">
        <f t="shared" si="6"/>
        <v>22.988913158591476</v>
      </c>
      <c r="M37">
        <f t="shared" si="7"/>
        <v>230.57291666666666</v>
      </c>
      <c r="N37">
        <f t="shared" si="8"/>
        <v>3.2624421816988249E-2</v>
      </c>
      <c r="O37">
        <f t="shared" si="9"/>
        <v>1.9950304946916649E-3</v>
      </c>
      <c r="P37">
        <f t="shared" si="4"/>
        <v>301.05643315726917</v>
      </c>
      <c r="Q37">
        <f t="shared" si="5"/>
        <v>307.97164585282951</v>
      </c>
    </row>
    <row r="38" spans="1:17" x14ac:dyDescent="0.35">
      <c r="A38">
        <v>538</v>
      </c>
      <c r="B38" t="s">
        <v>36</v>
      </c>
      <c r="C38">
        <v>8289</v>
      </c>
      <c r="D38">
        <v>817</v>
      </c>
      <c r="E38" s="1">
        <v>208910</v>
      </c>
      <c r="F38" s="1">
        <v>161267</v>
      </c>
      <c r="G38">
        <v>0.42</v>
      </c>
      <c r="H38">
        <v>0.68</v>
      </c>
      <c r="I38">
        <v>56348000</v>
      </c>
      <c r="J38">
        <v>47658333.333333336</v>
      </c>
      <c r="K38">
        <v>55024966.666666664</v>
      </c>
      <c r="L38">
        <f t="shared" si="6"/>
        <v>25.203281457353118</v>
      </c>
      <c r="M38">
        <f t="shared" si="7"/>
        <v>197.38922888616892</v>
      </c>
      <c r="N38">
        <f t="shared" si="8"/>
        <v>2.6980613661385287E-2</v>
      </c>
      <c r="O38">
        <f t="shared" si="9"/>
        <v>2.1277756763628019E-3</v>
      </c>
      <c r="P38">
        <f t="shared" si="4"/>
        <v>263.39077433663618</v>
      </c>
      <c r="Q38">
        <f t="shared" si="5"/>
        <v>295.52439949483363</v>
      </c>
    </row>
    <row r="39" spans="1:17" x14ac:dyDescent="0.35">
      <c r="A39">
        <v>539</v>
      </c>
      <c r="B39" t="s">
        <v>37</v>
      </c>
      <c r="C39">
        <v>20605</v>
      </c>
      <c r="D39">
        <v>1935</v>
      </c>
      <c r="E39" s="1">
        <v>477151</v>
      </c>
      <c r="F39" s="1">
        <v>438205</v>
      </c>
      <c r="G39">
        <v>0.36</v>
      </c>
      <c r="H39">
        <v>0.48</v>
      </c>
      <c r="I39">
        <v>72044000</v>
      </c>
      <c r="J39">
        <v>133982500</v>
      </c>
      <c r="K39">
        <v>140878733.33333334</v>
      </c>
      <c r="L39">
        <f t="shared" si="6"/>
        <v>23.157049259888378</v>
      </c>
      <c r="M39">
        <f t="shared" si="7"/>
        <v>226.46253229974161</v>
      </c>
      <c r="N39">
        <f t="shared" si="8"/>
        <v>2.0728029491712267E-2</v>
      </c>
      <c r="O39">
        <f t="shared" si="9"/>
        <v>1.5896669367077051E-3</v>
      </c>
      <c r="P39">
        <f t="shared" si="4"/>
        <v>295.24979164527235</v>
      </c>
      <c r="Q39">
        <f t="shared" si="5"/>
        <v>305.75301514131513</v>
      </c>
    </row>
    <row r="40" spans="1:17" x14ac:dyDescent="0.35">
      <c r="A40">
        <v>540</v>
      </c>
      <c r="B40" t="s">
        <v>38</v>
      </c>
      <c r="C40">
        <v>42231</v>
      </c>
      <c r="D40">
        <v>4263</v>
      </c>
      <c r="E40" s="1">
        <v>955317</v>
      </c>
      <c r="F40" s="1">
        <v>922174</v>
      </c>
      <c r="G40">
        <v>0.45</v>
      </c>
      <c r="H40">
        <v>0.61</v>
      </c>
      <c r="I40">
        <v>102128000</v>
      </c>
      <c r="J40">
        <v>283325000</v>
      </c>
      <c r="K40">
        <v>292917966.66666669</v>
      </c>
      <c r="L40">
        <f t="shared" si="6"/>
        <v>22.621226113518507</v>
      </c>
      <c r="M40">
        <f t="shared" si="7"/>
        <v>216.32043162092424</v>
      </c>
      <c r="N40">
        <f t="shared" si="8"/>
        <v>2.6965823909759795E-2</v>
      </c>
      <c r="O40">
        <f t="shared" si="9"/>
        <v>2.0802473285952542E-3</v>
      </c>
      <c r="P40">
        <f t="shared" si="4"/>
        <v>306.61860583101389</v>
      </c>
      <c r="Q40">
        <f t="shared" si="5"/>
        <v>307.23594462650215</v>
      </c>
    </row>
    <row r="41" spans="1:17" x14ac:dyDescent="0.35">
      <c r="A41">
        <v>541</v>
      </c>
      <c r="B41" t="s">
        <v>39</v>
      </c>
      <c r="C41">
        <v>47648</v>
      </c>
      <c r="D41">
        <v>4417</v>
      </c>
      <c r="E41" s="1">
        <v>1004234</v>
      </c>
      <c r="F41" s="1">
        <v>925745</v>
      </c>
      <c r="G41">
        <v>0.33</v>
      </c>
      <c r="H41">
        <v>0.52</v>
      </c>
      <c r="I41">
        <v>93408000</v>
      </c>
      <c r="J41">
        <v>280338333.33333331</v>
      </c>
      <c r="K41">
        <v>311405333.33333331</v>
      </c>
      <c r="L41">
        <f t="shared" si="6"/>
        <v>21.076099731363332</v>
      </c>
      <c r="M41">
        <f t="shared" si="7"/>
        <v>209.58682363595202</v>
      </c>
      <c r="N41">
        <f t="shared" si="8"/>
        <v>2.4672496649187341E-2</v>
      </c>
      <c r="O41">
        <f t="shared" si="9"/>
        <v>1.5745264624707667E-3</v>
      </c>
      <c r="P41">
        <f t="shared" si="4"/>
        <v>310.09240210282991</v>
      </c>
      <c r="Q41">
        <f t="shared" si="5"/>
        <v>302.82457192135342</v>
      </c>
    </row>
    <row r="42" spans="1:17" x14ac:dyDescent="0.35">
      <c r="A42">
        <v>542</v>
      </c>
      <c r="B42" t="s">
        <v>40</v>
      </c>
      <c r="C42">
        <v>72929</v>
      </c>
      <c r="D42">
        <v>10108</v>
      </c>
      <c r="E42" s="1">
        <v>1597139</v>
      </c>
      <c r="F42" s="1">
        <v>2260094</v>
      </c>
      <c r="G42">
        <v>0.52</v>
      </c>
      <c r="H42">
        <v>0.67</v>
      </c>
      <c r="I42">
        <v>139188000</v>
      </c>
      <c r="J42">
        <v>696733333.33333337</v>
      </c>
      <c r="K42">
        <v>498131166.66666669</v>
      </c>
      <c r="L42">
        <f t="shared" si="6"/>
        <v>21.899916357004759</v>
      </c>
      <c r="M42">
        <f t="shared" si="7"/>
        <v>223.59457855164226</v>
      </c>
      <c r="N42">
        <f t="shared" si="8"/>
        <v>3.0593724153001087E-2</v>
      </c>
      <c r="O42">
        <f t="shared" si="9"/>
        <v>2.3256377832072471E-3</v>
      </c>
      <c r="P42">
        <f t="shared" si="4"/>
        <v>311.88967689516483</v>
      </c>
      <c r="Q42">
        <f t="shared" si="5"/>
        <v>308.27626343565061</v>
      </c>
    </row>
    <row r="43" spans="1:17" x14ac:dyDescent="0.35">
      <c r="A43">
        <v>543</v>
      </c>
      <c r="B43" t="s">
        <v>41</v>
      </c>
      <c r="C43">
        <v>13951</v>
      </c>
      <c r="D43">
        <v>623</v>
      </c>
      <c r="E43" s="1">
        <v>322382</v>
      </c>
      <c r="F43" s="1">
        <v>138489</v>
      </c>
      <c r="G43">
        <v>0.26</v>
      </c>
      <c r="H43">
        <v>0.6</v>
      </c>
      <c r="I43">
        <v>61580000</v>
      </c>
      <c r="J43">
        <v>40236666.666666664</v>
      </c>
      <c r="K43">
        <v>91585900</v>
      </c>
      <c r="L43">
        <f t="shared" si="6"/>
        <v>23.108164289298259</v>
      </c>
      <c r="M43">
        <f t="shared" si="7"/>
        <v>222.29373996789727</v>
      </c>
      <c r="N43">
        <f t="shared" si="8"/>
        <v>2.5964849154109099E-2</v>
      </c>
      <c r="O43">
        <f t="shared" si="9"/>
        <v>1.1696235802121468E-3</v>
      </c>
      <c r="P43">
        <f t="shared" si="4"/>
        <v>284.09123338151636</v>
      </c>
      <c r="Q43">
        <f t="shared" si="5"/>
        <v>290.54052427749974</v>
      </c>
    </row>
    <row r="44" spans="1:17" x14ac:dyDescent="0.35">
      <c r="A44">
        <v>544</v>
      </c>
      <c r="B44" t="s">
        <v>42</v>
      </c>
      <c r="C44">
        <v>39651</v>
      </c>
      <c r="D44">
        <v>5488</v>
      </c>
      <c r="E44" s="1">
        <v>956399</v>
      </c>
      <c r="F44" s="1">
        <v>1142652</v>
      </c>
      <c r="G44">
        <v>0.32</v>
      </c>
      <c r="H44">
        <v>0.55000000000000004</v>
      </c>
      <c r="I44">
        <v>116080000</v>
      </c>
      <c r="J44">
        <v>350463333.33333331</v>
      </c>
      <c r="K44">
        <v>289489000</v>
      </c>
      <c r="L44">
        <f t="shared" si="6"/>
        <v>24.120425714357772</v>
      </c>
      <c r="M44">
        <f t="shared" si="7"/>
        <v>208.2091836734694</v>
      </c>
      <c r="N44">
        <f t="shared" si="8"/>
        <v>2.2802250943382417E-2</v>
      </c>
      <c r="O44">
        <f t="shared" si="9"/>
        <v>1.5369158763998136E-3</v>
      </c>
      <c r="P44">
        <f t="shared" si="4"/>
        <v>302.68643108158835</v>
      </c>
      <c r="Q44">
        <f t="shared" si="5"/>
        <v>306.71047119624637</v>
      </c>
    </row>
    <row r="45" spans="1:17" x14ac:dyDescent="0.35">
      <c r="A45">
        <v>545</v>
      </c>
      <c r="B45" t="s">
        <v>43</v>
      </c>
      <c r="C45">
        <v>69367</v>
      </c>
      <c r="D45">
        <v>2841</v>
      </c>
      <c r="E45" s="1">
        <v>1423823</v>
      </c>
      <c r="F45" s="1">
        <v>625027</v>
      </c>
      <c r="G45">
        <v>0.31</v>
      </c>
      <c r="H45">
        <v>0.46</v>
      </c>
      <c r="I45">
        <v>90792000</v>
      </c>
      <c r="J45">
        <v>190432500</v>
      </c>
      <c r="K45">
        <v>451383266.66666669</v>
      </c>
      <c r="L45">
        <f t="shared" si="6"/>
        <v>20.525941730217539</v>
      </c>
      <c r="M45">
        <f t="shared" si="7"/>
        <v>220.00246392115451</v>
      </c>
      <c r="N45">
        <f t="shared" si="8"/>
        <v>2.2410664808757832E-2</v>
      </c>
      <c r="O45">
        <f t="shared" si="9"/>
        <v>1.4090751279544724E-3</v>
      </c>
      <c r="P45">
        <f t="shared" si="4"/>
        <v>317.02203621283451</v>
      </c>
      <c r="Q45">
        <f t="shared" si="5"/>
        <v>304.67883787420385</v>
      </c>
    </row>
    <row r="46" spans="1:17" x14ac:dyDescent="0.35">
      <c r="A46">
        <v>546</v>
      </c>
      <c r="B46" t="s">
        <v>44</v>
      </c>
      <c r="C46">
        <v>104880</v>
      </c>
      <c r="D46">
        <v>8466</v>
      </c>
      <c r="E46" s="1">
        <v>2233467</v>
      </c>
      <c r="F46" s="1">
        <v>1893711</v>
      </c>
      <c r="G46">
        <v>0.43</v>
      </c>
      <c r="H46">
        <v>0.62</v>
      </c>
      <c r="I46">
        <v>164040000</v>
      </c>
      <c r="J46">
        <v>581870000</v>
      </c>
      <c r="K46">
        <v>703924366.66666663</v>
      </c>
      <c r="L46">
        <f t="shared" si="6"/>
        <v>21.295451945080092</v>
      </c>
      <c r="M46">
        <f t="shared" si="7"/>
        <v>223.68426647767541</v>
      </c>
      <c r="N46">
        <f t="shared" si="8"/>
        <v>2.9114197792042596E-2</v>
      </c>
      <c r="O46">
        <f t="shared" si="9"/>
        <v>1.9223524603278958E-3</v>
      </c>
      <c r="P46">
        <f t="shared" si="4"/>
        <v>315.17115169674173</v>
      </c>
      <c r="Q46">
        <f t="shared" si="5"/>
        <v>307.26441363016846</v>
      </c>
    </row>
    <row r="47" spans="1:17" x14ac:dyDescent="0.35">
      <c r="A47">
        <v>547</v>
      </c>
      <c r="B47" t="s">
        <v>45</v>
      </c>
      <c r="C47">
        <v>72954</v>
      </c>
      <c r="D47">
        <v>4103</v>
      </c>
      <c r="E47" s="1">
        <v>1485061</v>
      </c>
      <c r="F47" s="1">
        <v>805667</v>
      </c>
      <c r="G47">
        <v>0.42</v>
      </c>
      <c r="H47">
        <v>0.42</v>
      </c>
      <c r="I47">
        <v>99512000</v>
      </c>
      <c r="J47">
        <v>244831666.66666666</v>
      </c>
      <c r="K47">
        <v>469958533.33333331</v>
      </c>
      <c r="L47">
        <f t="shared" si="6"/>
        <v>20.356128519340956</v>
      </c>
      <c r="M47">
        <f t="shared" si="7"/>
        <v>196.36046795028028</v>
      </c>
      <c r="N47">
        <f t="shared" si="8"/>
        <v>2.0632607010755786E-2</v>
      </c>
      <c r="O47">
        <f t="shared" si="9"/>
        <v>2.1389234013556467E-3</v>
      </c>
      <c r="P47">
        <f t="shared" si="4"/>
        <v>316.45739355712209</v>
      </c>
      <c r="Q47">
        <f t="shared" si="5"/>
        <v>303.88692433308881</v>
      </c>
    </row>
    <row r="48" spans="1:17" x14ac:dyDescent="0.35">
      <c r="A48">
        <v>548</v>
      </c>
      <c r="B48" t="s">
        <v>46</v>
      </c>
      <c r="C48">
        <v>76391</v>
      </c>
      <c r="D48">
        <v>6865</v>
      </c>
      <c r="E48" s="1">
        <v>1471288</v>
      </c>
      <c r="F48" s="1">
        <v>1364159</v>
      </c>
      <c r="G48">
        <v>0.27</v>
      </c>
      <c r="H48">
        <v>0.44</v>
      </c>
      <c r="I48">
        <v>85560000</v>
      </c>
      <c r="J48">
        <v>417900000</v>
      </c>
      <c r="K48">
        <v>468927400</v>
      </c>
      <c r="L48">
        <f t="shared" si="6"/>
        <v>19.259965179144139</v>
      </c>
      <c r="M48">
        <f t="shared" si="7"/>
        <v>198.71216314639474</v>
      </c>
      <c r="N48">
        <f t="shared" si="8"/>
        <v>2.2845316484603969E-2</v>
      </c>
      <c r="O48">
        <f t="shared" si="9"/>
        <v>1.3587492367092109E-3</v>
      </c>
      <c r="P48">
        <f t="shared" si="4"/>
        <v>318.718972764</v>
      </c>
      <c r="Q48">
        <f t="shared" si="5"/>
        <v>306.34258909701873</v>
      </c>
    </row>
    <row r="49" spans="1:17" x14ac:dyDescent="0.35">
      <c r="A49">
        <v>549</v>
      </c>
      <c r="B49" t="s">
        <v>47</v>
      </c>
      <c r="C49">
        <v>74153</v>
      </c>
      <c r="D49">
        <v>7683</v>
      </c>
      <c r="E49" s="1">
        <v>1518220</v>
      </c>
      <c r="F49" s="1">
        <v>1598789</v>
      </c>
      <c r="G49">
        <v>0.41</v>
      </c>
      <c r="H49">
        <v>0.57999999999999996</v>
      </c>
      <c r="I49">
        <v>108232000</v>
      </c>
      <c r="J49">
        <v>491965000</v>
      </c>
      <c r="K49">
        <v>479289133.33333331</v>
      </c>
      <c r="L49">
        <f t="shared" si="6"/>
        <v>20.474154788073307</v>
      </c>
      <c r="M49">
        <f t="shared" si="7"/>
        <v>208.0943641806586</v>
      </c>
      <c r="N49">
        <f t="shared" si="8"/>
        <v>2.8328397728919392E-2</v>
      </c>
      <c r="O49">
        <f t="shared" si="9"/>
        <v>1.9702599905303325E-3</v>
      </c>
      <c r="P49">
        <f t="shared" si="4"/>
        <v>315.69148959527166</v>
      </c>
      <c r="Q49">
        <f t="shared" si="5"/>
        <v>307.71102378112431</v>
      </c>
    </row>
    <row r="50" spans="1:17" x14ac:dyDescent="0.35">
      <c r="A50">
        <v>550</v>
      </c>
      <c r="B50" t="s">
        <v>48</v>
      </c>
      <c r="C50">
        <v>52511</v>
      </c>
      <c r="D50">
        <v>12538</v>
      </c>
      <c r="E50" s="1">
        <v>1207278</v>
      </c>
      <c r="F50" s="1">
        <v>2769015</v>
      </c>
      <c r="G50">
        <v>0.42</v>
      </c>
      <c r="H50">
        <v>0.65</v>
      </c>
      <c r="I50">
        <v>132212000</v>
      </c>
      <c r="J50">
        <v>851787500</v>
      </c>
      <c r="K50">
        <v>371048266.66666669</v>
      </c>
      <c r="L50">
        <f t="shared" si="6"/>
        <v>22.990954276246882</v>
      </c>
      <c r="M50">
        <f t="shared" si="7"/>
        <v>220.8498165576647</v>
      </c>
      <c r="N50">
        <f t="shared" si="8"/>
        <v>2.8271988721736006E-2</v>
      </c>
      <c r="O50">
        <f t="shared" si="9"/>
        <v>1.901744844285784E-3</v>
      </c>
      <c r="P50">
        <f t="shared" si="4"/>
        <v>307.34285447648898</v>
      </c>
      <c r="Q50">
        <f t="shared" si="5"/>
        <v>307.61389880517078</v>
      </c>
    </row>
    <row r="51" spans="1:17" x14ac:dyDescent="0.35">
      <c r="A51">
        <v>551</v>
      </c>
      <c r="B51" t="s">
        <v>49</v>
      </c>
      <c r="C51">
        <v>64045</v>
      </c>
      <c r="D51">
        <v>4412</v>
      </c>
      <c r="E51" s="1">
        <v>1444541</v>
      </c>
      <c r="F51" s="1">
        <v>943216</v>
      </c>
      <c r="G51">
        <v>0.31</v>
      </c>
      <c r="H51">
        <v>0.59</v>
      </c>
      <c r="I51">
        <v>133956000</v>
      </c>
      <c r="J51">
        <v>285176666.66666669</v>
      </c>
      <c r="K51">
        <v>447264900</v>
      </c>
      <c r="L51">
        <f t="shared" si="6"/>
        <v>22.55509407447888</v>
      </c>
      <c r="M51">
        <f t="shared" si="7"/>
        <v>213.7842248413418</v>
      </c>
      <c r="N51">
        <f t="shared" si="8"/>
        <v>2.6158170657669115E-2</v>
      </c>
      <c r="O51">
        <f t="shared" si="9"/>
        <v>1.4500602195043342E-3</v>
      </c>
      <c r="P51">
        <f t="shared" si="4"/>
        <v>309.6242335800784</v>
      </c>
      <c r="Q51">
        <f t="shared" si="5"/>
        <v>302.34502666055994</v>
      </c>
    </row>
    <row r="52" spans="1:17" x14ac:dyDescent="0.35">
      <c r="A52">
        <v>552</v>
      </c>
      <c r="B52" t="s">
        <v>50</v>
      </c>
      <c r="C52">
        <v>68435</v>
      </c>
      <c r="D52">
        <v>6403</v>
      </c>
      <c r="E52" s="1">
        <v>1389808</v>
      </c>
      <c r="F52" s="1">
        <v>1378964</v>
      </c>
      <c r="G52">
        <v>0.28000000000000003</v>
      </c>
      <c r="H52">
        <v>0.55000000000000004</v>
      </c>
      <c r="I52">
        <v>101692000</v>
      </c>
      <c r="J52">
        <v>423188333.33333331</v>
      </c>
      <c r="K52">
        <v>437748333.33333331</v>
      </c>
      <c r="L52">
        <f t="shared" si="6"/>
        <v>20.308438664426099</v>
      </c>
      <c r="M52">
        <f t="shared" si="7"/>
        <v>215.36217398094644</v>
      </c>
      <c r="N52">
        <f t="shared" si="8"/>
        <v>2.7082337992010409E-2</v>
      </c>
      <c r="O52">
        <f t="shared" si="9"/>
        <v>1.3001354640150144E-3</v>
      </c>
      <c r="P52">
        <f t="shared" si="4"/>
        <v>314.97036521111789</v>
      </c>
      <c r="Q52">
        <f t="shared" si="5"/>
        <v>306.88860139447678</v>
      </c>
    </row>
    <row r="53" spans="1:17" x14ac:dyDescent="0.35">
      <c r="A53">
        <v>553</v>
      </c>
      <c r="B53" t="s">
        <v>51</v>
      </c>
      <c r="C53">
        <v>63196</v>
      </c>
      <c r="D53">
        <v>3671</v>
      </c>
      <c r="E53" s="1">
        <v>1243132</v>
      </c>
      <c r="F53" s="1">
        <v>802142</v>
      </c>
      <c r="G53">
        <v>0.39</v>
      </c>
      <c r="H53">
        <v>0.44</v>
      </c>
      <c r="I53">
        <v>85124000</v>
      </c>
      <c r="J53">
        <v>246541666.66666666</v>
      </c>
      <c r="K53">
        <v>392760666.66666669</v>
      </c>
      <c r="L53">
        <f t="shared" si="6"/>
        <v>19.671055130071522</v>
      </c>
      <c r="M53">
        <f t="shared" si="7"/>
        <v>218.50776355216561</v>
      </c>
      <c r="N53">
        <f t="shared" si="8"/>
        <v>2.2367890135560828E-2</v>
      </c>
      <c r="O53">
        <f t="shared" si="9"/>
        <v>1.7848336080145413E-3</v>
      </c>
      <c r="P53">
        <f t="shared" si="4"/>
        <v>315.94445856648105</v>
      </c>
      <c r="Q53">
        <f t="shared" si="5"/>
        <v>307.3541426164777</v>
      </c>
    </row>
    <row r="54" spans="1:17" x14ac:dyDescent="0.35">
      <c r="A54">
        <v>554</v>
      </c>
      <c r="B54" t="s">
        <v>52</v>
      </c>
      <c r="C54">
        <v>143126</v>
      </c>
      <c r="D54">
        <v>13891</v>
      </c>
      <c r="E54" s="1">
        <v>2747670</v>
      </c>
      <c r="F54" s="1">
        <v>2882789</v>
      </c>
      <c r="G54">
        <v>0.34</v>
      </c>
      <c r="H54">
        <v>0.46</v>
      </c>
      <c r="I54">
        <v>130904000</v>
      </c>
      <c r="J54">
        <v>885368333.33333337</v>
      </c>
      <c r="K54">
        <v>884397333.33333337</v>
      </c>
      <c r="L54">
        <f t="shared" si="6"/>
        <v>19.197560191719184</v>
      </c>
      <c r="M54">
        <f t="shared" si="7"/>
        <v>207.52926355194012</v>
      </c>
      <c r="N54">
        <f t="shared" si="8"/>
        <v>2.3961378185881132E-2</v>
      </c>
      <c r="O54">
        <f t="shared" si="9"/>
        <v>1.638323165517837E-3</v>
      </c>
      <c r="P54">
        <f t="shared" si="4"/>
        <v>321.87174345293772</v>
      </c>
      <c r="Q54">
        <f t="shared" si="5"/>
        <v>307.12214224951373</v>
      </c>
    </row>
    <row r="55" spans="1:17" x14ac:dyDescent="0.35">
      <c r="A55">
        <v>555</v>
      </c>
      <c r="B55" t="s">
        <v>53</v>
      </c>
      <c r="C55">
        <v>71817</v>
      </c>
      <c r="D55">
        <v>8619</v>
      </c>
      <c r="E55" s="1">
        <v>1543889</v>
      </c>
      <c r="F55" s="1">
        <v>2115556</v>
      </c>
      <c r="G55">
        <v>0.51</v>
      </c>
      <c r="H55">
        <v>0.71</v>
      </c>
      <c r="I55">
        <v>131776000</v>
      </c>
      <c r="J55">
        <v>651195000</v>
      </c>
      <c r="K55">
        <v>482563000</v>
      </c>
      <c r="L55">
        <f t="shared" si="6"/>
        <v>21.497542364621189</v>
      </c>
      <c r="M55">
        <f t="shared" si="7"/>
        <v>245.45260471052327</v>
      </c>
      <c r="N55">
        <f t="shared" si="8"/>
        <v>3.3027031088374875E-2</v>
      </c>
      <c r="O55">
        <f t="shared" si="9"/>
        <v>2.0777942063457547E-3</v>
      </c>
      <c r="P55">
        <f t="shared" si="4"/>
        <v>312.56327365503608</v>
      </c>
      <c r="Q55">
        <f t="shared" si="5"/>
        <v>307.81269793850885</v>
      </c>
    </row>
    <row r="56" spans="1:17" x14ac:dyDescent="0.35">
      <c r="A56">
        <v>556</v>
      </c>
      <c r="B56" t="s">
        <v>54</v>
      </c>
      <c r="C56">
        <v>125682</v>
      </c>
      <c r="D56">
        <v>5173</v>
      </c>
      <c r="E56" s="1">
        <v>2447943</v>
      </c>
      <c r="F56" s="1">
        <v>1176474</v>
      </c>
      <c r="G56">
        <v>0.32</v>
      </c>
      <c r="H56">
        <v>0.43</v>
      </c>
      <c r="I56">
        <v>107796000</v>
      </c>
      <c r="J56">
        <v>347838333.33333331</v>
      </c>
      <c r="K56">
        <v>787474066.66666663</v>
      </c>
      <c r="L56">
        <f t="shared" si="6"/>
        <v>19.477275982240894</v>
      </c>
      <c r="M56">
        <f t="shared" si="7"/>
        <v>227.42586506862557</v>
      </c>
      <c r="N56">
        <f t="shared" si="8"/>
        <v>2.2077009146046291E-2</v>
      </c>
      <c r="O56">
        <f t="shared" si="9"/>
        <v>1.4070519195494332E-3</v>
      </c>
      <c r="P56">
        <f t="shared" si="4"/>
        <v>321.6880730746862</v>
      </c>
      <c r="Q56">
        <f t="shared" si="5"/>
        <v>295.66172591432814</v>
      </c>
    </row>
    <row r="57" spans="1:17" x14ac:dyDescent="0.35">
      <c r="A57">
        <v>557</v>
      </c>
      <c r="B57" t="s">
        <v>55</v>
      </c>
      <c r="C57">
        <v>100715</v>
      </c>
      <c r="D57">
        <v>7009</v>
      </c>
      <c r="E57" s="1">
        <v>1924271</v>
      </c>
      <c r="F57" s="1">
        <v>1407187</v>
      </c>
      <c r="G57">
        <v>0.24</v>
      </c>
      <c r="H57">
        <v>0.5</v>
      </c>
      <c r="I57">
        <v>99076000</v>
      </c>
      <c r="J57">
        <v>430998333.33333331</v>
      </c>
      <c r="K57">
        <v>616936233.33333337</v>
      </c>
      <c r="L57">
        <f t="shared" si="6"/>
        <v>19.106101375167551</v>
      </c>
      <c r="M57">
        <f t="shared" si="7"/>
        <v>200.76858325010701</v>
      </c>
      <c r="N57">
        <f t="shared" si="8"/>
        <v>2.6169650740462232E-2</v>
      </c>
      <c r="O57">
        <f t="shared" si="9"/>
        <v>1.1954061542637901E-3</v>
      </c>
      <c r="P57">
        <f t="shared" si="4"/>
        <v>320.60776955706001</v>
      </c>
      <c r="Q57">
        <f t="shared" si="5"/>
        <v>306.28362352219949</v>
      </c>
    </row>
    <row r="58" spans="1:17" x14ac:dyDescent="0.35">
      <c r="A58">
        <v>558</v>
      </c>
      <c r="B58" t="s">
        <v>56</v>
      </c>
      <c r="C58">
        <v>33243</v>
      </c>
      <c r="D58">
        <v>3367</v>
      </c>
      <c r="E58" s="1">
        <v>748518</v>
      </c>
      <c r="F58" s="1">
        <v>706927</v>
      </c>
      <c r="G58">
        <v>0.4</v>
      </c>
      <c r="H58">
        <v>0.65</v>
      </c>
      <c r="I58">
        <v>88612000</v>
      </c>
      <c r="J58">
        <v>216388333.33333334</v>
      </c>
      <c r="K58">
        <v>227315300</v>
      </c>
      <c r="L58">
        <f t="shared" si="6"/>
        <v>22.516559877267394</v>
      </c>
      <c r="M58">
        <f t="shared" si="7"/>
        <v>209.95752895752895</v>
      </c>
      <c r="N58">
        <f t="shared" si="8"/>
        <v>2.8867642461503935E-2</v>
      </c>
      <c r="O58">
        <f t="shared" si="9"/>
        <v>1.9051472075617428E-3</v>
      </c>
      <c r="P58">
        <f t="shared" si="4"/>
        <v>303.6871524799671</v>
      </c>
      <c r="Q58">
        <f t="shared" si="5"/>
        <v>306.09714062885325</v>
      </c>
    </row>
    <row r="59" spans="1:17" x14ac:dyDescent="0.35">
      <c r="A59">
        <v>559</v>
      </c>
      <c r="B59" t="s">
        <v>57</v>
      </c>
      <c r="C59">
        <v>22608</v>
      </c>
      <c r="D59">
        <v>508</v>
      </c>
      <c r="E59" s="1">
        <v>480642</v>
      </c>
      <c r="F59" s="1">
        <v>140460</v>
      </c>
      <c r="G59">
        <v>0.4</v>
      </c>
      <c r="H59">
        <v>0.54</v>
      </c>
      <c r="I59">
        <v>64196000</v>
      </c>
      <c r="J59">
        <v>40625000</v>
      </c>
      <c r="K59">
        <v>143764900</v>
      </c>
      <c r="L59">
        <f t="shared" si="6"/>
        <v>21.259819532908704</v>
      </c>
      <c r="M59">
        <f t="shared" si="7"/>
        <v>276.49606299212599</v>
      </c>
      <c r="N59">
        <f t="shared" si="8"/>
        <v>2.5400027463267881E-2</v>
      </c>
      <c r="O59">
        <f t="shared" si="9"/>
        <v>1.4466752100242063E-3</v>
      </c>
      <c r="P59">
        <f t="shared" si="4"/>
        <v>299.11014850970162</v>
      </c>
      <c r="Q59">
        <f t="shared" si="5"/>
        <v>289.22825003559734</v>
      </c>
    </row>
    <row r="60" spans="1:17" x14ac:dyDescent="0.35">
      <c r="A60">
        <v>560</v>
      </c>
      <c r="B60" t="s">
        <v>58</v>
      </c>
      <c r="C60">
        <v>99256</v>
      </c>
      <c r="D60">
        <v>7210</v>
      </c>
      <c r="E60" s="1">
        <v>2068476</v>
      </c>
      <c r="F60" s="1">
        <v>1499490</v>
      </c>
      <c r="G60">
        <v>0.36</v>
      </c>
      <c r="H60">
        <v>0.56000000000000005</v>
      </c>
      <c r="I60">
        <v>140060000</v>
      </c>
      <c r="J60">
        <v>455888333.33333331</v>
      </c>
      <c r="K60">
        <v>654209900</v>
      </c>
      <c r="L60">
        <f t="shared" si="6"/>
        <v>20.839808172805675</v>
      </c>
      <c r="M60">
        <f t="shared" si="7"/>
        <v>207.9736477115118</v>
      </c>
      <c r="N60">
        <f t="shared" si="8"/>
        <v>2.687164849870146E-2</v>
      </c>
      <c r="O60">
        <f t="shared" si="9"/>
        <v>1.7309885361022747E-3</v>
      </c>
      <c r="P60">
        <f t="shared" si="4"/>
        <v>316.27628263513816</v>
      </c>
      <c r="Q60">
        <f t="shared" si="5"/>
        <v>304.02892539018819</v>
      </c>
    </row>
    <row r="61" spans="1:17" x14ac:dyDescent="0.35">
      <c r="A61">
        <v>561</v>
      </c>
      <c r="B61" t="s">
        <v>59</v>
      </c>
      <c r="C61">
        <v>58570</v>
      </c>
      <c r="D61">
        <v>9169</v>
      </c>
      <c r="E61" s="1">
        <v>1187797</v>
      </c>
      <c r="F61" s="1">
        <v>1896369</v>
      </c>
      <c r="G61">
        <v>0.3</v>
      </c>
      <c r="H61">
        <v>0.51</v>
      </c>
      <c r="I61">
        <v>91664000</v>
      </c>
      <c r="J61">
        <v>583985000</v>
      </c>
      <c r="K61">
        <v>372937766.66666669</v>
      </c>
      <c r="L61">
        <f t="shared" si="6"/>
        <v>20.279955608673383</v>
      </c>
      <c r="M61">
        <f t="shared" si="7"/>
        <v>206.82397207983422</v>
      </c>
      <c r="N61">
        <f t="shared" si="8"/>
        <v>2.5147984041044048E-2</v>
      </c>
      <c r="O61">
        <f t="shared" si="9"/>
        <v>1.450508840842684E-3</v>
      </c>
      <c r="P61">
        <f t="shared" si="4"/>
        <v>313.97432950804443</v>
      </c>
      <c r="Q61">
        <f t="shared" si="5"/>
        <v>307.94903312593698</v>
      </c>
    </row>
    <row r="62" spans="1:17" x14ac:dyDescent="0.35">
      <c r="A62">
        <v>562</v>
      </c>
      <c r="B62" t="s">
        <v>60</v>
      </c>
      <c r="C62">
        <v>25392</v>
      </c>
      <c r="D62">
        <v>1550</v>
      </c>
      <c r="E62" s="1">
        <v>595380</v>
      </c>
      <c r="F62" s="1">
        <v>339928</v>
      </c>
      <c r="G62">
        <v>0.33</v>
      </c>
      <c r="H62">
        <v>0.61</v>
      </c>
      <c r="I62">
        <v>83380000</v>
      </c>
      <c r="J62">
        <v>102926666.66666667</v>
      </c>
      <c r="K62">
        <v>177188000</v>
      </c>
      <c r="L62">
        <f t="shared" si="6"/>
        <v>23.447542533081286</v>
      </c>
      <c r="M62">
        <f t="shared" si="7"/>
        <v>219.3083870967742</v>
      </c>
      <c r="N62">
        <f t="shared" si="8"/>
        <v>2.6015519500151164E-2</v>
      </c>
      <c r="O62">
        <f t="shared" si="9"/>
        <v>1.5047304134993293E-3</v>
      </c>
      <c r="P62">
        <f t="shared" si="4"/>
        <v>297.60489099398706</v>
      </c>
      <c r="Q62">
        <f t="shared" si="5"/>
        <v>302.78961034885822</v>
      </c>
    </row>
    <row r="63" spans="1:17" x14ac:dyDescent="0.35">
      <c r="A63">
        <v>563</v>
      </c>
      <c r="B63" t="s">
        <v>61</v>
      </c>
      <c r="C63">
        <v>50296</v>
      </c>
      <c r="D63">
        <v>2085</v>
      </c>
      <c r="E63" s="1">
        <v>1003616</v>
      </c>
      <c r="F63" s="1">
        <v>413279</v>
      </c>
      <c r="G63">
        <v>0.37</v>
      </c>
      <c r="H63">
        <v>0.55000000000000004</v>
      </c>
      <c r="I63">
        <v>76404000</v>
      </c>
      <c r="J63">
        <v>125493333.33333333</v>
      </c>
      <c r="K63">
        <v>314989000</v>
      </c>
      <c r="L63">
        <f t="shared" si="6"/>
        <v>19.954191188166057</v>
      </c>
      <c r="M63">
        <f t="shared" si="7"/>
        <v>198.21534772182255</v>
      </c>
      <c r="N63">
        <f t="shared" si="8"/>
        <v>2.7563131715715974E-2</v>
      </c>
      <c r="O63">
        <f t="shared" si="9"/>
        <v>1.8666566653519777E-3</v>
      </c>
      <c r="P63">
        <f t="shared" si="4"/>
        <v>313.85410356152153</v>
      </c>
      <c r="Q63">
        <f t="shared" si="5"/>
        <v>303.65281887861062</v>
      </c>
    </row>
    <row r="64" spans="1:17" x14ac:dyDescent="0.35">
      <c r="A64">
        <v>564</v>
      </c>
      <c r="B64" t="s">
        <v>62</v>
      </c>
      <c r="C64">
        <v>40580</v>
      </c>
      <c r="D64">
        <v>2681</v>
      </c>
      <c r="E64" s="1">
        <v>822999</v>
      </c>
      <c r="F64" s="1">
        <v>556796</v>
      </c>
      <c r="G64">
        <v>0.28000000000000003</v>
      </c>
      <c r="H64">
        <v>0.51</v>
      </c>
      <c r="I64">
        <v>74224000</v>
      </c>
      <c r="J64">
        <v>169324166.66666666</v>
      </c>
      <c r="K64">
        <v>255702100</v>
      </c>
      <c r="L64">
        <f t="shared" si="6"/>
        <v>20.280901922129129</v>
      </c>
      <c r="M64">
        <f t="shared" si="7"/>
        <v>207.68220813129429</v>
      </c>
      <c r="N64">
        <f t="shared" si="8"/>
        <v>2.514681062795945E-2</v>
      </c>
      <c r="O64">
        <f t="shared" si="9"/>
        <v>1.3482137084318137E-3</v>
      </c>
      <c r="P64">
        <f t="shared" si="4"/>
        <v>310.69551724850214</v>
      </c>
      <c r="Q64">
        <f t="shared" si="5"/>
        <v>304.1044954824867</v>
      </c>
    </row>
    <row r="65" spans="1:17" x14ac:dyDescent="0.35">
      <c r="A65">
        <v>565</v>
      </c>
      <c r="B65" t="s">
        <v>63</v>
      </c>
      <c r="C65">
        <v>49412</v>
      </c>
      <c r="D65">
        <v>2686</v>
      </c>
      <c r="E65" s="1">
        <v>1019210</v>
      </c>
      <c r="F65" s="1">
        <v>595367</v>
      </c>
      <c r="G65">
        <v>0.32</v>
      </c>
      <c r="H65">
        <v>0.45</v>
      </c>
      <c r="I65">
        <v>82072000</v>
      </c>
      <c r="J65">
        <v>181815000</v>
      </c>
      <c r="K65">
        <v>319153466.66666669</v>
      </c>
      <c r="L65">
        <f t="shared" si="6"/>
        <v>20.626770824900834</v>
      </c>
      <c r="M65">
        <f t="shared" si="7"/>
        <v>221.65562174236783</v>
      </c>
      <c r="N65">
        <f t="shared" si="8"/>
        <v>2.1816308709686913E-2</v>
      </c>
      <c r="O65">
        <f t="shared" si="9"/>
        <v>1.4436809564520709E-3</v>
      </c>
      <c r="P65">
        <f t="shared" si="4"/>
        <v>313.13808407165027</v>
      </c>
      <c r="Q65">
        <f t="shared" si="5"/>
        <v>305.38306624317437</v>
      </c>
    </row>
    <row r="66" spans="1:17" x14ac:dyDescent="0.35">
      <c r="A66">
        <v>566</v>
      </c>
      <c r="B66" t="s">
        <v>64</v>
      </c>
      <c r="C66">
        <v>42321</v>
      </c>
      <c r="D66">
        <v>4978</v>
      </c>
      <c r="E66" s="1">
        <v>861145</v>
      </c>
      <c r="F66" s="1">
        <v>980549</v>
      </c>
      <c r="G66">
        <v>0.27</v>
      </c>
      <c r="H66">
        <v>0.44</v>
      </c>
      <c r="I66">
        <v>78584000</v>
      </c>
      <c r="J66">
        <v>300733333.33333331</v>
      </c>
      <c r="K66">
        <v>267269000</v>
      </c>
      <c r="L66">
        <f t="shared" ref="L66:L97" si="10">E66/C66</f>
        <v>20.347936012854138</v>
      </c>
      <c r="M66">
        <f t="shared" ref="M66:M97" si="11">F66/D66</f>
        <v>196.97649658497389</v>
      </c>
      <c r="N66">
        <f t="shared" ref="N66:N97" si="12">H66/L66</f>
        <v>2.1623814804707688E-2</v>
      </c>
      <c r="O66">
        <f t="shared" ref="O66:O97" si="13">G66/M66</f>
        <v>1.3707219119085329E-3</v>
      </c>
      <c r="P66">
        <f t="shared" si="4"/>
        <v>310.36468887353465</v>
      </c>
      <c r="Q66">
        <f t="shared" si="5"/>
        <v>306.69893430448997</v>
      </c>
    </row>
    <row r="67" spans="1:17" x14ac:dyDescent="0.35">
      <c r="A67">
        <v>567</v>
      </c>
      <c r="B67" t="s">
        <v>65</v>
      </c>
      <c r="C67">
        <v>31435</v>
      </c>
      <c r="D67">
        <v>5854</v>
      </c>
      <c r="E67" s="1">
        <v>675533</v>
      </c>
      <c r="F67" s="1">
        <v>1368420</v>
      </c>
      <c r="G67">
        <v>0.21</v>
      </c>
      <c r="H67">
        <v>0.43</v>
      </c>
      <c r="I67">
        <v>74224000</v>
      </c>
      <c r="J67">
        <v>421864166.66666669</v>
      </c>
      <c r="K67">
        <v>206776533.33333334</v>
      </c>
      <c r="L67">
        <f t="shared" si="10"/>
        <v>21.489836169874344</v>
      </c>
      <c r="M67">
        <f t="shared" si="11"/>
        <v>233.75811411001024</v>
      </c>
      <c r="N67">
        <f t="shared" si="12"/>
        <v>2.0009459197404125E-2</v>
      </c>
      <c r="O67">
        <f t="shared" si="13"/>
        <v>8.9836453720349015E-4</v>
      </c>
      <c r="P67">
        <f t="shared" ref="P67:P130" si="14">K67/E67</f>
        <v>306.09390412212775</v>
      </c>
      <c r="Q67">
        <f t="shared" ref="Q67:Q130" si="15">J67/F67</f>
        <v>308.2855897068639</v>
      </c>
    </row>
    <row r="68" spans="1:17" x14ac:dyDescent="0.35">
      <c r="A68">
        <v>568</v>
      </c>
      <c r="B68" t="s">
        <v>66</v>
      </c>
      <c r="C68">
        <v>36096</v>
      </c>
      <c r="D68">
        <v>4716</v>
      </c>
      <c r="E68" s="1">
        <v>859847</v>
      </c>
      <c r="F68" s="1">
        <v>1061607</v>
      </c>
      <c r="G68">
        <v>0.42</v>
      </c>
      <c r="H68">
        <v>0.56999999999999995</v>
      </c>
      <c r="I68">
        <v>105180000</v>
      </c>
      <c r="J68">
        <v>326333333.33333331</v>
      </c>
      <c r="K68">
        <v>260175933.33333334</v>
      </c>
      <c r="L68">
        <f t="shared" si="10"/>
        <v>23.821115913120568</v>
      </c>
      <c r="M68">
        <f t="shared" si="11"/>
        <v>225.10750636132315</v>
      </c>
      <c r="N68">
        <f t="shared" si="12"/>
        <v>2.3928350043670558E-2</v>
      </c>
      <c r="O68">
        <f t="shared" si="13"/>
        <v>1.865775187993297E-3</v>
      </c>
      <c r="P68">
        <f t="shared" si="14"/>
        <v>302.58398684106982</v>
      </c>
      <c r="Q68">
        <f t="shared" si="15"/>
        <v>307.39561187269237</v>
      </c>
    </row>
    <row r="69" spans="1:17" x14ac:dyDescent="0.35">
      <c r="A69">
        <v>569</v>
      </c>
      <c r="B69" t="s">
        <v>67</v>
      </c>
      <c r="C69">
        <v>47690</v>
      </c>
      <c r="D69">
        <v>3973</v>
      </c>
      <c r="E69" s="1">
        <v>1042788</v>
      </c>
      <c r="F69" s="1">
        <v>853687</v>
      </c>
      <c r="G69">
        <v>0.35</v>
      </c>
      <c r="H69">
        <v>0.64</v>
      </c>
      <c r="I69">
        <v>103872000</v>
      </c>
      <c r="J69">
        <v>260468333.33333334</v>
      </c>
      <c r="K69">
        <v>321730333.33333331</v>
      </c>
      <c r="L69">
        <f t="shared" si="10"/>
        <v>21.865967708114908</v>
      </c>
      <c r="M69">
        <f t="shared" si="11"/>
        <v>214.87213692423862</v>
      </c>
      <c r="N69">
        <f t="shared" si="12"/>
        <v>2.9269228261161427E-2</v>
      </c>
      <c r="O69">
        <f t="shared" si="13"/>
        <v>1.6288756886306103E-3</v>
      </c>
      <c r="P69">
        <f t="shared" si="14"/>
        <v>308.52899470777697</v>
      </c>
      <c r="Q69">
        <f t="shared" si="15"/>
        <v>305.10987438409319</v>
      </c>
    </row>
    <row r="70" spans="1:17" x14ac:dyDescent="0.35">
      <c r="A70">
        <v>570</v>
      </c>
      <c r="B70" t="s">
        <v>68</v>
      </c>
      <c r="C70">
        <v>40690</v>
      </c>
      <c r="D70">
        <v>2650</v>
      </c>
      <c r="E70" s="1">
        <v>823635</v>
      </c>
      <c r="F70" s="1">
        <v>542335</v>
      </c>
      <c r="G70">
        <v>0.33</v>
      </c>
      <c r="H70">
        <v>0.47</v>
      </c>
      <c r="I70">
        <v>72916000</v>
      </c>
      <c r="J70">
        <v>162875833.33333334</v>
      </c>
      <c r="K70">
        <v>255914033.33333334</v>
      </c>
      <c r="L70">
        <f t="shared" si="10"/>
        <v>20.241705578766283</v>
      </c>
      <c r="M70">
        <f t="shared" si="11"/>
        <v>204.65471698113208</v>
      </c>
      <c r="N70">
        <f t="shared" si="12"/>
        <v>2.3219387228566049E-2</v>
      </c>
      <c r="O70">
        <f t="shared" si="13"/>
        <v>1.6124719960909769E-3</v>
      </c>
      <c r="P70">
        <f t="shared" si="14"/>
        <v>310.71291692719876</v>
      </c>
      <c r="Q70">
        <f t="shared" si="15"/>
        <v>300.3232934133577</v>
      </c>
    </row>
    <row r="71" spans="1:17" x14ac:dyDescent="0.35">
      <c r="A71">
        <v>571</v>
      </c>
      <c r="B71" t="s">
        <v>69</v>
      </c>
      <c r="C71">
        <v>65939</v>
      </c>
      <c r="D71">
        <v>8380</v>
      </c>
      <c r="E71" s="1">
        <v>1262762</v>
      </c>
      <c r="F71" s="1">
        <v>1775882</v>
      </c>
      <c r="G71">
        <v>0.31</v>
      </c>
      <c r="H71">
        <v>0.49</v>
      </c>
      <c r="I71">
        <v>77712000</v>
      </c>
      <c r="J71">
        <v>547603333.33333337</v>
      </c>
      <c r="K71">
        <v>401371166.66666669</v>
      </c>
      <c r="L71">
        <f t="shared" si="10"/>
        <v>19.150457240783147</v>
      </c>
      <c r="M71">
        <f t="shared" si="11"/>
        <v>211.91909307875895</v>
      </c>
      <c r="N71">
        <f t="shared" si="12"/>
        <v>2.5586856430586287E-2</v>
      </c>
      <c r="O71">
        <f t="shared" si="13"/>
        <v>1.4628224172552006E-3</v>
      </c>
      <c r="P71">
        <f t="shared" si="14"/>
        <v>317.85179366077432</v>
      </c>
      <c r="Q71">
        <f t="shared" si="15"/>
        <v>308.35569780724921</v>
      </c>
    </row>
    <row r="72" spans="1:17" x14ac:dyDescent="0.35">
      <c r="A72">
        <v>572</v>
      </c>
      <c r="B72" t="s">
        <v>70</v>
      </c>
      <c r="C72">
        <v>122402</v>
      </c>
      <c r="D72">
        <v>5124</v>
      </c>
      <c r="E72" s="1">
        <v>2305971</v>
      </c>
      <c r="F72" s="1">
        <v>1118213</v>
      </c>
      <c r="G72">
        <v>0.36</v>
      </c>
      <c r="H72">
        <v>0.47</v>
      </c>
      <c r="I72">
        <v>101692000</v>
      </c>
      <c r="J72">
        <v>341560000</v>
      </c>
      <c r="K72">
        <v>743365700</v>
      </c>
      <c r="L72">
        <f t="shared" si="10"/>
        <v>18.839324520841163</v>
      </c>
      <c r="M72">
        <f t="shared" si="11"/>
        <v>218.23048399687744</v>
      </c>
      <c r="N72">
        <f t="shared" si="12"/>
        <v>2.4947815909220017E-2</v>
      </c>
      <c r="O72">
        <f t="shared" si="13"/>
        <v>1.6496320468461733E-3</v>
      </c>
      <c r="P72">
        <f t="shared" si="14"/>
        <v>322.36558915962081</v>
      </c>
      <c r="Q72">
        <f t="shared" si="15"/>
        <v>305.45164472242766</v>
      </c>
    </row>
    <row r="73" spans="1:17" x14ac:dyDescent="0.35">
      <c r="A73">
        <v>573</v>
      </c>
      <c r="B73" t="s">
        <v>71</v>
      </c>
      <c r="C73">
        <v>29580</v>
      </c>
      <c r="D73">
        <v>2456</v>
      </c>
      <c r="E73" s="1">
        <v>611860</v>
      </c>
      <c r="F73" s="1">
        <v>530216</v>
      </c>
      <c r="G73">
        <v>0.39</v>
      </c>
      <c r="H73">
        <v>0.6</v>
      </c>
      <c r="I73">
        <v>65940000</v>
      </c>
      <c r="J73">
        <v>161687500</v>
      </c>
      <c r="K73">
        <v>187159866.66666666</v>
      </c>
      <c r="L73">
        <f t="shared" si="10"/>
        <v>20.684922244759974</v>
      </c>
      <c r="M73">
        <f t="shared" si="11"/>
        <v>215.88599348534203</v>
      </c>
      <c r="N73">
        <f t="shared" si="12"/>
        <v>2.900663550485405E-2</v>
      </c>
      <c r="O73">
        <f t="shared" si="13"/>
        <v>1.8065090453701887E-3</v>
      </c>
      <c r="P73">
        <f t="shared" si="14"/>
        <v>305.88674969219539</v>
      </c>
      <c r="Q73">
        <f t="shared" si="15"/>
        <v>304.9464746442959</v>
      </c>
    </row>
    <row r="74" spans="1:17" x14ac:dyDescent="0.35">
      <c r="A74">
        <v>574</v>
      </c>
      <c r="B74" t="s">
        <v>72</v>
      </c>
      <c r="C74">
        <v>75770</v>
      </c>
      <c r="D74">
        <v>6960</v>
      </c>
      <c r="E74" s="1">
        <v>1514125</v>
      </c>
      <c r="F74" s="1">
        <v>1489343</v>
      </c>
      <c r="G74">
        <v>0.33</v>
      </c>
      <c r="H74">
        <v>0.53</v>
      </c>
      <c r="I74">
        <v>99076000</v>
      </c>
      <c r="J74">
        <v>458790000</v>
      </c>
      <c r="K74">
        <v>479416900</v>
      </c>
      <c r="L74">
        <f t="shared" si="10"/>
        <v>19.983172759667415</v>
      </c>
      <c r="M74">
        <f t="shared" si="11"/>
        <v>213.9860632183908</v>
      </c>
      <c r="N74">
        <f t="shared" si="12"/>
        <v>2.652231486832329E-2</v>
      </c>
      <c r="O74">
        <f t="shared" si="13"/>
        <v>1.5421565079367212E-3</v>
      </c>
      <c r="P74">
        <f t="shared" si="14"/>
        <v>316.62967060183274</v>
      </c>
      <c r="Q74">
        <f t="shared" si="15"/>
        <v>308.0485824957716</v>
      </c>
    </row>
    <row r="75" spans="1:17" x14ac:dyDescent="0.35">
      <c r="A75">
        <v>575</v>
      </c>
      <c r="B75" t="s">
        <v>73</v>
      </c>
      <c r="C75">
        <v>55517</v>
      </c>
      <c r="D75">
        <v>2655</v>
      </c>
      <c r="E75" s="1">
        <v>1083782</v>
      </c>
      <c r="F75" s="1">
        <v>538474</v>
      </c>
      <c r="G75">
        <v>0.34</v>
      </c>
      <c r="H75">
        <v>0.52</v>
      </c>
      <c r="I75">
        <v>78584000</v>
      </c>
      <c r="J75">
        <v>163913333.33333334</v>
      </c>
      <c r="K75">
        <v>341596333.33333331</v>
      </c>
      <c r="L75">
        <f t="shared" si="10"/>
        <v>19.5216240070609</v>
      </c>
      <c r="M75">
        <f t="shared" si="11"/>
        <v>202.815065913371</v>
      </c>
      <c r="N75">
        <f t="shared" si="12"/>
        <v>2.6637128130934083E-2</v>
      </c>
      <c r="O75">
        <f t="shared" si="13"/>
        <v>1.6764040603631746E-3</v>
      </c>
      <c r="P75">
        <f t="shared" si="14"/>
        <v>315.18915550667322</v>
      </c>
      <c r="Q75">
        <f t="shared" si="15"/>
        <v>304.40343142534891</v>
      </c>
    </row>
    <row r="76" spans="1:17" x14ac:dyDescent="0.35">
      <c r="A76">
        <v>576</v>
      </c>
      <c r="B76" t="s">
        <v>74</v>
      </c>
      <c r="C76">
        <v>23463</v>
      </c>
      <c r="D76">
        <v>1511</v>
      </c>
      <c r="E76" s="1">
        <v>501523</v>
      </c>
      <c r="F76" s="1">
        <v>307214</v>
      </c>
      <c r="G76">
        <v>0.28000000000000003</v>
      </c>
      <c r="H76">
        <v>0.55000000000000004</v>
      </c>
      <c r="I76">
        <v>63324000</v>
      </c>
      <c r="J76">
        <v>93451666.666666672</v>
      </c>
      <c r="K76">
        <v>150840233.33333334</v>
      </c>
      <c r="L76">
        <f t="shared" si="10"/>
        <v>21.375058602906705</v>
      </c>
      <c r="M76">
        <f t="shared" si="11"/>
        <v>203.31833223031106</v>
      </c>
      <c r="N76">
        <f t="shared" si="12"/>
        <v>2.573092360669401E-2</v>
      </c>
      <c r="O76">
        <f t="shared" si="13"/>
        <v>1.3771507808888919E-3</v>
      </c>
      <c r="P76">
        <f t="shared" si="14"/>
        <v>300.76433849162123</v>
      </c>
      <c r="Q76">
        <f t="shared" si="15"/>
        <v>304.19078123609819</v>
      </c>
    </row>
    <row r="77" spans="1:17" x14ac:dyDescent="0.35">
      <c r="A77">
        <v>577</v>
      </c>
      <c r="B77" t="s">
        <v>75</v>
      </c>
      <c r="C77">
        <v>80007</v>
      </c>
      <c r="D77">
        <v>3165</v>
      </c>
      <c r="E77" s="1">
        <v>1521016</v>
      </c>
      <c r="F77" s="1">
        <v>702422</v>
      </c>
      <c r="G77">
        <v>0.31</v>
      </c>
      <c r="H77">
        <v>0.52</v>
      </c>
      <c r="I77">
        <v>79456000</v>
      </c>
      <c r="J77">
        <v>215681666.66666666</v>
      </c>
      <c r="K77">
        <v>486996400</v>
      </c>
      <c r="L77">
        <f t="shared" si="10"/>
        <v>19.011036534303248</v>
      </c>
      <c r="M77">
        <f t="shared" si="11"/>
        <v>221.93428120063191</v>
      </c>
      <c r="N77">
        <f t="shared" si="12"/>
        <v>2.7352532780720258E-2</v>
      </c>
      <c r="O77">
        <f t="shared" si="13"/>
        <v>1.3968098949064807E-3</v>
      </c>
      <c r="P77">
        <f t="shared" si="14"/>
        <v>320.17835446832908</v>
      </c>
      <c r="Q77">
        <f t="shared" si="15"/>
        <v>307.0542589307662</v>
      </c>
    </row>
    <row r="78" spans="1:17" x14ac:dyDescent="0.35">
      <c r="A78">
        <v>578</v>
      </c>
      <c r="B78" t="s">
        <v>76</v>
      </c>
      <c r="C78">
        <v>70717</v>
      </c>
      <c r="D78">
        <v>5598</v>
      </c>
      <c r="E78" s="1">
        <v>1462830</v>
      </c>
      <c r="F78" s="1">
        <v>1153948</v>
      </c>
      <c r="G78">
        <v>0.33</v>
      </c>
      <c r="H78">
        <v>0.61</v>
      </c>
      <c r="I78">
        <v>94280000</v>
      </c>
      <c r="J78">
        <v>353910000</v>
      </c>
      <c r="K78">
        <v>463696766.66666669</v>
      </c>
      <c r="L78">
        <f t="shared" si="10"/>
        <v>20.685690852270316</v>
      </c>
      <c r="M78">
        <f t="shared" si="11"/>
        <v>206.13576277241873</v>
      </c>
      <c r="N78">
        <f t="shared" si="12"/>
        <v>2.948898368231442E-2</v>
      </c>
      <c r="O78">
        <f t="shared" si="13"/>
        <v>1.6008866950677153E-3</v>
      </c>
      <c r="P78">
        <f t="shared" si="14"/>
        <v>316.98609316644223</v>
      </c>
      <c r="Q78">
        <f t="shared" si="15"/>
        <v>306.69492906092825</v>
      </c>
    </row>
    <row r="79" spans="1:17" x14ac:dyDescent="0.35">
      <c r="A79">
        <v>579</v>
      </c>
      <c r="B79" t="s">
        <v>77</v>
      </c>
      <c r="C79">
        <v>51845</v>
      </c>
      <c r="D79">
        <v>7080</v>
      </c>
      <c r="E79" s="1">
        <v>1072500</v>
      </c>
      <c r="F79" s="1">
        <v>1490815</v>
      </c>
      <c r="G79">
        <v>0.25</v>
      </c>
      <c r="H79">
        <v>0.46</v>
      </c>
      <c r="I79">
        <v>90792000</v>
      </c>
      <c r="J79">
        <v>455863333.33333331</v>
      </c>
      <c r="K79">
        <v>334505300</v>
      </c>
      <c r="L79">
        <f t="shared" si="10"/>
        <v>20.686662166071944</v>
      </c>
      <c r="M79">
        <f t="shared" si="11"/>
        <v>210.56709039548022</v>
      </c>
      <c r="N79">
        <f t="shared" si="12"/>
        <v>2.2236550116550118E-2</v>
      </c>
      <c r="O79">
        <f t="shared" si="13"/>
        <v>1.1872700502745144E-3</v>
      </c>
      <c r="P79">
        <f t="shared" si="14"/>
        <v>311.89305361305361</v>
      </c>
      <c r="Q79">
        <f t="shared" si="15"/>
        <v>305.78128965252785</v>
      </c>
    </row>
    <row r="80" spans="1:17" x14ac:dyDescent="0.35">
      <c r="A80">
        <v>580</v>
      </c>
      <c r="B80" t="s">
        <v>78</v>
      </c>
      <c r="C80">
        <v>18606</v>
      </c>
      <c r="D80">
        <v>2894</v>
      </c>
      <c r="E80" s="1">
        <v>439350</v>
      </c>
      <c r="F80" s="1">
        <v>632642</v>
      </c>
      <c r="G80">
        <v>0.41</v>
      </c>
      <c r="H80">
        <v>0.68</v>
      </c>
      <c r="I80">
        <v>73788000</v>
      </c>
      <c r="J80">
        <v>194736666.66666666</v>
      </c>
      <c r="K80">
        <v>127934000</v>
      </c>
      <c r="L80">
        <f t="shared" si="10"/>
        <v>23.613350532086425</v>
      </c>
      <c r="M80">
        <f t="shared" si="11"/>
        <v>218.6046993780235</v>
      </c>
      <c r="N80">
        <f t="shared" si="12"/>
        <v>2.8797268692386479E-2</v>
      </c>
      <c r="O80">
        <f t="shared" si="13"/>
        <v>1.8755315012281826E-3</v>
      </c>
      <c r="P80">
        <f t="shared" si="14"/>
        <v>291.18925685672014</v>
      </c>
      <c r="Q80">
        <f t="shared" si="15"/>
        <v>307.81495168937039</v>
      </c>
    </row>
    <row r="81" spans="1:17" x14ac:dyDescent="0.35">
      <c r="A81">
        <v>581</v>
      </c>
      <c r="B81" t="s">
        <v>79</v>
      </c>
      <c r="C81">
        <v>9405</v>
      </c>
      <c r="D81">
        <v>714</v>
      </c>
      <c r="E81" s="1">
        <v>240101</v>
      </c>
      <c r="F81" s="1">
        <v>161305</v>
      </c>
      <c r="G81">
        <v>0.25</v>
      </c>
      <c r="H81">
        <v>0.43</v>
      </c>
      <c r="I81">
        <v>58092000</v>
      </c>
      <c r="J81">
        <v>47215000</v>
      </c>
      <c r="K81">
        <v>64962866.666666664</v>
      </c>
      <c r="L81">
        <f t="shared" si="10"/>
        <v>25.529080276448699</v>
      </c>
      <c r="M81">
        <f t="shared" si="11"/>
        <v>225.91736694677871</v>
      </c>
      <c r="N81">
        <f t="shared" si="12"/>
        <v>1.6843536678314543E-2</v>
      </c>
      <c r="O81">
        <f t="shared" si="13"/>
        <v>1.1065992994637487E-3</v>
      </c>
      <c r="P81">
        <f t="shared" si="14"/>
        <v>270.56474844614002</v>
      </c>
      <c r="Q81">
        <f t="shared" si="15"/>
        <v>292.70636372090138</v>
      </c>
    </row>
    <row r="82" spans="1:17" x14ac:dyDescent="0.35">
      <c r="A82">
        <v>582</v>
      </c>
      <c r="B82" t="s">
        <v>80</v>
      </c>
      <c r="C82">
        <v>28887</v>
      </c>
      <c r="D82">
        <v>4028</v>
      </c>
      <c r="E82" s="1">
        <v>653101</v>
      </c>
      <c r="F82" s="1">
        <v>841412</v>
      </c>
      <c r="G82">
        <v>0.45</v>
      </c>
      <c r="H82">
        <v>0.61</v>
      </c>
      <c r="I82">
        <v>83380000</v>
      </c>
      <c r="J82">
        <v>258186666.66666666</v>
      </c>
      <c r="K82">
        <v>196543000</v>
      </c>
      <c r="L82">
        <f t="shared" si="10"/>
        <v>22.608820576730018</v>
      </c>
      <c r="M82">
        <f t="shared" si="11"/>
        <v>208.89076464746773</v>
      </c>
      <c r="N82">
        <f t="shared" si="12"/>
        <v>2.6980620149104042E-2</v>
      </c>
      <c r="O82">
        <f t="shared" si="13"/>
        <v>2.1542359747662261E-3</v>
      </c>
      <c r="P82">
        <f t="shared" si="14"/>
        <v>300.93813973642671</v>
      </c>
      <c r="Q82">
        <f t="shared" si="15"/>
        <v>306.84928033670383</v>
      </c>
    </row>
    <row r="83" spans="1:17" x14ac:dyDescent="0.35">
      <c r="A83">
        <v>583</v>
      </c>
      <c r="B83" t="s">
        <v>81</v>
      </c>
      <c r="C83">
        <v>71525</v>
      </c>
      <c r="D83">
        <v>3671</v>
      </c>
      <c r="E83" s="1">
        <v>1408728</v>
      </c>
      <c r="F83" s="1">
        <v>766219</v>
      </c>
      <c r="G83">
        <v>0.26</v>
      </c>
      <c r="H83">
        <v>0.55000000000000004</v>
      </c>
      <c r="I83">
        <v>90356000</v>
      </c>
      <c r="J83">
        <v>230672500</v>
      </c>
      <c r="K83">
        <v>446351833.33333331</v>
      </c>
      <c r="L83">
        <f t="shared" si="10"/>
        <v>19.695602936036352</v>
      </c>
      <c r="M83">
        <f t="shared" si="11"/>
        <v>208.72214655407245</v>
      </c>
      <c r="N83">
        <f t="shared" si="12"/>
        <v>2.7925014623121001E-2</v>
      </c>
      <c r="O83">
        <f t="shared" si="13"/>
        <v>1.2456751920795492E-3</v>
      </c>
      <c r="P83">
        <f t="shared" si="14"/>
        <v>316.84742074647011</v>
      </c>
      <c r="Q83">
        <f t="shared" si="15"/>
        <v>301.05296266472118</v>
      </c>
    </row>
    <row r="84" spans="1:17" x14ac:dyDescent="0.35">
      <c r="A84">
        <v>584</v>
      </c>
      <c r="B84" t="s">
        <v>82</v>
      </c>
      <c r="C84">
        <v>58884</v>
      </c>
      <c r="D84">
        <v>3431</v>
      </c>
      <c r="E84" s="1">
        <v>1163562</v>
      </c>
      <c r="F84" s="1">
        <v>742645</v>
      </c>
      <c r="G84">
        <v>0.32</v>
      </c>
      <c r="H84">
        <v>0.57999999999999996</v>
      </c>
      <c r="I84">
        <v>80328000</v>
      </c>
      <c r="J84">
        <v>224621666.66666666</v>
      </c>
      <c r="K84">
        <v>366811533.33333331</v>
      </c>
      <c r="L84">
        <f t="shared" si="10"/>
        <v>19.760240472793967</v>
      </c>
      <c r="M84">
        <f t="shared" si="11"/>
        <v>216.45147187408918</v>
      </c>
      <c r="N84">
        <f t="shared" si="12"/>
        <v>2.935186951791138E-2</v>
      </c>
      <c r="O84">
        <f t="shared" si="13"/>
        <v>1.4783914252435551E-3</v>
      </c>
      <c r="P84">
        <f t="shared" si="14"/>
        <v>315.24880782745856</v>
      </c>
      <c r="Q84">
        <f t="shared" si="15"/>
        <v>302.46169659348232</v>
      </c>
    </row>
    <row r="85" spans="1:17" x14ac:dyDescent="0.35">
      <c r="A85">
        <v>585</v>
      </c>
      <c r="B85" t="s">
        <v>83</v>
      </c>
      <c r="C85">
        <v>42469</v>
      </c>
      <c r="D85">
        <v>2544</v>
      </c>
      <c r="E85" s="1">
        <v>885689</v>
      </c>
      <c r="F85" s="1">
        <v>517244</v>
      </c>
      <c r="G85">
        <v>0.35</v>
      </c>
      <c r="H85">
        <v>0.44</v>
      </c>
      <c r="I85">
        <v>82072000</v>
      </c>
      <c r="J85">
        <v>155690000</v>
      </c>
      <c r="K85">
        <v>273957666.66666669</v>
      </c>
      <c r="L85">
        <f t="shared" si="10"/>
        <v>20.854953024559091</v>
      </c>
      <c r="M85">
        <f t="shared" si="11"/>
        <v>203.31918238993711</v>
      </c>
      <c r="N85">
        <f t="shared" si="12"/>
        <v>2.1098105542690492E-2</v>
      </c>
      <c r="O85">
        <f t="shared" si="13"/>
        <v>1.7214312780815242E-3</v>
      </c>
      <c r="P85">
        <f t="shared" si="14"/>
        <v>309.31587348004399</v>
      </c>
      <c r="Q85">
        <f t="shared" si="15"/>
        <v>300.99914160434918</v>
      </c>
    </row>
    <row r="86" spans="1:17" x14ac:dyDescent="0.35">
      <c r="A86">
        <v>586</v>
      </c>
      <c r="B86" t="s">
        <v>84</v>
      </c>
      <c r="C86">
        <v>36836</v>
      </c>
      <c r="D86">
        <v>2555</v>
      </c>
      <c r="E86" s="1">
        <v>745107</v>
      </c>
      <c r="F86" s="1">
        <v>544942</v>
      </c>
      <c r="G86">
        <v>0.45</v>
      </c>
      <c r="H86">
        <v>0.49</v>
      </c>
      <c r="I86">
        <v>70736000</v>
      </c>
      <c r="J86">
        <v>167115000</v>
      </c>
      <c r="K86">
        <v>230427233.33333334</v>
      </c>
      <c r="L86">
        <f t="shared" si="10"/>
        <v>20.22768487349332</v>
      </c>
      <c r="M86">
        <f t="shared" si="11"/>
        <v>213.28454011741684</v>
      </c>
      <c r="N86">
        <f t="shared" si="12"/>
        <v>2.4224225513919478E-2</v>
      </c>
      <c r="O86">
        <f t="shared" si="13"/>
        <v>2.1098575628231996E-3</v>
      </c>
      <c r="P86">
        <f t="shared" si="14"/>
        <v>309.25388344671751</v>
      </c>
      <c r="Q86">
        <f t="shared" si="15"/>
        <v>306.66566350180386</v>
      </c>
    </row>
    <row r="87" spans="1:17" x14ac:dyDescent="0.35">
      <c r="A87">
        <v>587</v>
      </c>
      <c r="B87" t="s">
        <v>85</v>
      </c>
      <c r="C87">
        <v>65157</v>
      </c>
      <c r="D87">
        <v>2910</v>
      </c>
      <c r="E87" s="1">
        <v>1396303</v>
      </c>
      <c r="F87" s="1">
        <v>613472</v>
      </c>
      <c r="G87">
        <v>0.26</v>
      </c>
      <c r="H87">
        <v>0.46</v>
      </c>
      <c r="I87">
        <v>92536000</v>
      </c>
      <c r="J87">
        <v>186462500</v>
      </c>
      <c r="K87">
        <v>442095100</v>
      </c>
      <c r="L87">
        <f t="shared" si="10"/>
        <v>21.429823349755207</v>
      </c>
      <c r="M87">
        <f t="shared" si="11"/>
        <v>210.81512027491408</v>
      </c>
      <c r="N87">
        <f t="shared" si="12"/>
        <v>2.1465412593111955E-2</v>
      </c>
      <c r="O87">
        <f t="shared" si="13"/>
        <v>1.2333081216420636E-3</v>
      </c>
      <c r="P87">
        <f t="shared" si="14"/>
        <v>316.61831278741073</v>
      </c>
      <c r="Q87">
        <f t="shared" si="15"/>
        <v>303.94622737468052</v>
      </c>
    </row>
    <row r="88" spans="1:17" x14ac:dyDescent="0.35">
      <c r="A88">
        <v>588</v>
      </c>
      <c r="B88" t="s">
        <v>86</v>
      </c>
      <c r="C88">
        <v>76797</v>
      </c>
      <c r="D88">
        <v>2657</v>
      </c>
      <c r="E88" s="1">
        <v>1472063</v>
      </c>
      <c r="F88" s="1">
        <v>552620</v>
      </c>
      <c r="G88">
        <v>0.33</v>
      </c>
      <c r="H88">
        <v>0.46</v>
      </c>
      <c r="I88">
        <v>85560000</v>
      </c>
      <c r="J88">
        <v>165701666.66666666</v>
      </c>
      <c r="K88">
        <v>469300766.66666669</v>
      </c>
      <c r="L88">
        <f t="shared" si="10"/>
        <v>19.168235738375198</v>
      </c>
      <c r="M88">
        <f t="shared" si="11"/>
        <v>207.98645088445616</v>
      </c>
      <c r="N88">
        <f t="shared" si="12"/>
        <v>2.3998035410169264E-2</v>
      </c>
      <c r="O88">
        <f t="shared" si="13"/>
        <v>1.5866418153523216E-3</v>
      </c>
      <c r="P88">
        <f t="shared" si="14"/>
        <v>318.8048111165532</v>
      </c>
      <c r="Q88">
        <f t="shared" si="15"/>
        <v>299.84739362792999</v>
      </c>
    </row>
    <row r="89" spans="1:17" x14ac:dyDescent="0.35">
      <c r="A89">
        <v>589</v>
      </c>
      <c r="B89" t="s">
        <v>87</v>
      </c>
      <c r="C89">
        <v>35603</v>
      </c>
      <c r="D89">
        <v>5124</v>
      </c>
      <c r="E89" s="1">
        <v>754581</v>
      </c>
      <c r="F89" s="1">
        <v>1026869</v>
      </c>
      <c r="G89">
        <v>0.26</v>
      </c>
      <c r="H89">
        <v>0.49</v>
      </c>
      <c r="I89">
        <v>75968000</v>
      </c>
      <c r="J89">
        <v>313379166.66666669</v>
      </c>
      <c r="K89">
        <v>232551700</v>
      </c>
      <c r="L89">
        <f t="shared" si="10"/>
        <v>21.194309468303231</v>
      </c>
      <c r="M89">
        <f t="shared" si="11"/>
        <v>200.40378610460579</v>
      </c>
      <c r="N89">
        <f t="shared" si="12"/>
        <v>2.3119413290289579E-2</v>
      </c>
      <c r="O89">
        <f t="shared" si="13"/>
        <v>1.2973806785480913E-3</v>
      </c>
      <c r="P89">
        <f t="shared" si="14"/>
        <v>308.1865300080442</v>
      </c>
      <c r="Q89">
        <f t="shared" si="15"/>
        <v>305.17930394886463</v>
      </c>
    </row>
    <row r="90" spans="1:17" x14ac:dyDescent="0.35">
      <c r="A90">
        <v>590</v>
      </c>
      <c r="B90" t="s">
        <v>88</v>
      </c>
      <c r="C90">
        <v>13785</v>
      </c>
      <c r="D90">
        <v>743</v>
      </c>
      <c r="E90" s="1">
        <v>306558</v>
      </c>
      <c r="F90" s="1">
        <v>150330</v>
      </c>
      <c r="G90">
        <v>0.41</v>
      </c>
      <c r="H90">
        <v>0.49</v>
      </c>
      <c r="I90">
        <v>58092000</v>
      </c>
      <c r="J90">
        <v>44511666.666666664</v>
      </c>
      <c r="K90">
        <v>87115000</v>
      </c>
      <c r="L90">
        <f t="shared" si="10"/>
        <v>22.238520130576713</v>
      </c>
      <c r="M90">
        <f t="shared" si="11"/>
        <v>202.32839838492598</v>
      </c>
      <c r="N90">
        <f t="shared" si="12"/>
        <v>2.2033840252089328E-2</v>
      </c>
      <c r="O90">
        <f t="shared" si="13"/>
        <v>2.0264085678174683E-3</v>
      </c>
      <c r="P90">
        <f t="shared" si="14"/>
        <v>284.17134767319726</v>
      </c>
      <c r="Q90">
        <f t="shared" si="15"/>
        <v>296.09303975697907</v>
      </c>
    </row>
    <row r="91" spans="1:17" x14ac:dyDescent="0.35">
      <c r="A91">
        <v>591</v>
      </c>
      <c r="B91" t="s">
        <v>89</v>
      </c>
      <c r="C91">
        <v>32562</v>
      </c>
      <c r="D91">
        <v>3592</v>
      </c>
      <c r="E91" s="1">
        <v>754099</v>
      </c>
      <c r="F91" s="1">
        <v>791194</v>
      </c>
      <c r="G91">
        <v>0.28000000000000003</v>
      </c>
      <c r="H91">
        <v>0.53</v>
      </c>
      <c r="I91">
        <v>92972000</v>
      </c>
      <c r="J91">
        <v>241148333.33333334</v>
      </c>
      <c r="K91">
        <v>228142100</v>
      </c>
      <c r="L91">
        <f t="shared" si="10"/>
        <v>23.1588661630121</v>
      </c>
      <c r="M91">
        <f t="shared" si="11"/>
        <v>220.26559020044544</v>
      </c>
      <c r="N91">
        <f t="shared" si="12"/>
        <v>2.2885403640636046E-2</v>
      </c>
      <c r="O91">
        <f t="shared" si="13"/>
        <v>1.271192653129321E-3</v>
      </c>
      <c r="P91">
        <f t="shared" si="14"/>
        <v>302.53600654555964</v>
      </c>
      <c r="Q91">
        <f t="shared" si="15"/>
        <v>304.79039696121725</v>
      </c>
    </row>
    <row r="92" spans="1:17" x14ac:dyDescent="0.35">
      <c r="A92">
        <v>592</v>
      </c>
      <c r="B92" t="s">
        <v>90</v>
      </c>
      <c r="C92">
        <v>67048</v>
      </c>
      <c r="D92">
        <v>3399</v>
      </c>
      <c r="E92" s="1">
        <v>1306921</v>
      </c>
      <c r="F92" s="1">
        <v>691342</v>
      </c>
      <c r="G92">
        <v>0.42</v>
      </c>
      <c r="H92">
        <v>0.6</v>
      </c>
      <c r="I92">
        <v>83380000</v>
      </c>
      <c r="J92">
        <v>210245000</v>
      </c>
      <c r="K92">
        <v>414138666.66666669</v>
      </c>
      <c r="L92">
        <f t="shared" si="10"/>
        <v>19.492318935687866</v>
      </c>
      <c r="M92">
        <f t="shared" si="11"/>
        <v>203.39570461900558</v>
      </c>
      <c r="N92">
        <f t="shared" si="12"/>
        <v>3.0781355567781065E-2</v>
      </c>
      <c r="O92">
        <f t="shared" si="13"/>
        <v>2.0649403623676848E-3</v>
      </c>
      <c r="P92">
        <f t="shared" si="14"/>
        <v>316.88117848490208</v>
      </c>
      <c r="Q92">
        <f t="shared" si="15"/>
        <v>304.11142386836036</v>
      </c>
    </row>
    <row r="93" spans="1:17" x14ac:dyDescent="0.35">
      <c r="A93">
        <v>593</v>
      </c>
      <c r="B93" t="s">
        <v>91</v>
      </c>
      <c r="C93">
        <v>68085</v>
      </c>
      <c r="D93">
        <v>9050</v>
      </c>
      <c r="E93" s="1">
        <v>1347851</v>
      </c>
      <c r="F93" s="1">
        <v>1821020</v>
      </c>
      <c r="G93">
        <v>0.3</v>
      </c>
      <c r="H93">
        <v>0.52</v>
      </c>
      <c r="I93">
        <v>90792000</v>
      </c>
      <c r="J93">
        <v>560586666.66666663</v>
      </c>
      <c r="K93">
        <v>426288866.66666669</v>
      </c>
      <c r="L93">
        <f t="shared" si="10"/>
        <v>19.796592494675775</v>
      </c>
      <c r="M93">
        <f t="shared" si="11"/>
        <v>201.21767955801104</v>
      </c>
      <c r="N93">
        <f t="shared" si="12"/>
        <v>2.626714673951349E-2</v>
      </c>
      <c r="O93">
        <f t="shared" si="13"/>
        <v>1.4909226697125786E-3</v>
      </c>
      <c r="P93">
        <f t="shared" si="14"/>
        <v>316.27299060999076</v>
      </c>
      <c r="Q93">
        <f t="shared" si="15"/>
        <v>307.8421251093709</v>
      </c>
    </row>
    <row r="94" spans="1:17" x14ac:dyDescent="0.35">
      <c r="A94">
        <v>594</v>
      </c>
      <c r="B94" t="s">
        <v>92</v>
      </c>
      <c r="C94">
        <v>53449</v>
      </c>
      <c r="D94">
        <v>4546</v>
      </c>
      <c r="E94" s="1">
        <v>1093240</v>
      </c>
      <c r="F94" s="1">
        <v>931183</v>
      </c>
      <c r="G94">
        <v>0.32</v>
      </c>
      <c r="H94">
        <v>0.51</v>
      </c>
      <c r="I94">
        <v>87740000</v>
      </c>
      <c r="J94">
        <v>283773333.33333331</v>
      </c>
      <c r="K94">
        <v>341992900</v>
      </c>
      <c r="L94">
        <f t="shared" si="10"/>
        <v>20.453890624707665</v>
      </c>
      <c r="M94">
        <f t="shared" si="11"/>
        <v>204.83567971843379</v>
      </c>
      <c r="N94">
        <f t="shared" si="12"/>
        <v>2.4934131572207384E-2</v>
      </c>
      <c r="O94">
        <f t="shared" si="13"/>
        <v>1.5622278327675656E-3</v>
      </c>
      <c r="P94">
        <f t="shared" si="14"/>
        <v>312.82508872708644</v>
      </c>
      <c r="Q94">
        <f t="shared" si="15"/>
        <v>304.74496778112712</v>
      </c>
    </row>
    <row r="95" spans="1:17" x14ac:dyDescent="0.35">
      <c r="A95">
        <v>595</v>
      </c>
      <c r="B95" t="s">
        <v>93</v>
      </c>
      <c r="C95">
        <v>14849</v>
      </c>
      <c r="D95">
        <v>1892</v>
      </c>
      <c r="E95" s="1">
        <v>356033</v>
      </c>
      <c r="F95" s="1">
        <v>385396</v>
      </c>
      <c r="G95">
        <v>0.3</v>
      </c>
      <c r="H95">
        <v>0.7</v>
      </c>
      <c r="I95">
        <v>66376000</v>
      </c>
      <c r="J95">
        <v>117566666.66666667</v>
      </c>
      <c r="K95">
        <v>101654533.33333333</v>
      </c>
      <c r="L95">
        <f t="shared" si="10"/>
        <v>23.976900801400767</v>
      </c>
      <c r="M95">
        <f t="shared" si="11"/>
        <v>203.69767441860466</v>
      </c>
      <c r="N95">
        <f t="shared" si="12"/>
        <v>2.9194765653745579E-2</v>
      </c>
      <c r="O95">
        <f t="shared" si="13"/>
        <v>1.4727708642539102E-3</v>
      </c>
      <c r="P95">
        <f t="shared" si="14"/>
        <v>285.51997520829059</v>
      </c>
      <c r="Q95">
        <f t="shared" si="15"/>
        <v>305.05419533847436</v>
      </c>
    </row>
    <row r="96" spans="1:17" x14ac:dyDescent="0.35">
      <c r="A96">
        <v>596</v>
      </c>
      <c r="B96" t="s">
        <v>94</v>
      </c>
      <c r="C96">
        <v>97151</v>
      </c>
      <c r="D96">
        <v>6638</v>
      </c>
      <c r="E96" s="1">
        <v>1855360</v>
      </c>
      <c r="F96" s="1">
        <v>1326561</v>
      </c>
      <c r="G96">
        <v>0.3</v>
      </c>
      <c r="H96">
        <v>0.45</v>
      </c>
      <c r="I96">
        <v>95588000</v>
      </c>
      <c r="J96">
        <v>407411666.66666669</v>
      </c>
      <c r="K96">
        <v>594540100</v>
      </c>
      <c r="L96">
        <f t="shared" si="10"/>
        <v>19.097693281592573</v>
      </c>
      <c r="M96">
        <f t="shared" si="11"/>
        <v>199.84347695088883</v>
      </c>
      <c r="N96">
        <f t="shared" si="12"/>
        <v>2.356305514832701E-2</v>
      </c>
      <c r="O96">
        <f t="shared" si="13"/>
        <v>1.5011748423178427E-3</v>
      </c>
      <c r="P96">
        <f t="shared" si="14"/>
        <v>320.44460374266987</v>
      </c>
      <c r="Q96">
        <f t="shared" si="15"/>
        <v>307.11868256843576</v>
      </c>
    </row>
    <row r="97" spans="1:17" x14ac:dyDescent="0.35">
      <c r="A97">
        <v>597</v>
      </c>
      <c r="B97" t="s">
        <v>95</v>
      </c>
      <c r="C97">
        <v>43647</v>
      </c>
      <c r="D97">
        <v>2266</v>
      </c>
      <c r="E97" s="1">
        <v>981069</v>
      </c>
      <c r="F97" s="1">
        <v>488158</v>
      </c>
      <c r="G97">
        <v>0.3</v>
      </c>
      <c r="H97">
        <v>0.49</v>
      </c>
      <c r="I97">
        <v>101692000</v>
      </c>
      <c r="J97">
        <v>147393333.33333334</v>
      </c>
      <c r="K97">
        <v>301157500</v>
      </c>
      <c r="L97">
        <f t="shared" si="10"/>
        <v>22.477352395353634</v>
      </c>
      <c r="M97">
        <f t="shared" si="11"/>
        <v>215.42718446601941</v>
      </c>
      <c r="N97">
        <f t="shared" si="12"/>
        <v>2.1799720508955026E-2</v>
      </c>
      <c r="O97">
        <f t="shared" si="13"/>
        <v>1.3925819099553833E-3</v>
      </c>
      <c r="P97">
        <f t="shared" si="14"/>
        <v>306.96872493168166</v>
      </c>
      <c r="Q97">
        <f t="shared" si="15"/>
        <v>301.93776058844338</v>
      </c>
    </row>
    <row r="98" spans="1:17" x14ac:dyDescent="0.35">
      <c r="A98">
        <v>598</v>
      </c>
      <c r="B98" t="s">
        <v>96</v>
      </c>
      <c r="C98">
        <v>52477</v>
      </c>
      <c r="D98">
        <v>6267</v>
      </c>
      <c r="E98" s="1">
        <v>1089908</v>
      </c>
      <c r="F98" s="1">
        <v>1369638</v>
      </c>
      <c r="G98">
        <v>0.47</v>
      </c>
      <c r="H98">
        <v>0.66</v>
      </c>
      <c r="I98">
        <v>92536000</v>
      </c>
      <c r="J98">
        <v>422555833.33333331</v>
      </c>
      <c r="K98">
        <v>340422933.33333331</v>
      </c>
      <c r="L98">
        <f t="shared" ref="L98:L129" si="16">E98/C98</f>
        <v>20.76925129104179</v>
      </c>
      <c r="M98">
        <f t="shared" ref="M98:M129" si="17">F98/D98</f>
        <v>218.5476304451891</v>
      </c>
      <c r="N98">
        <f t="shared" ref="N98:N129" si="18">H98/L98</f>
        <v>3.1777746378593423E-2</v>
      </c>
      <c r="O98">
        <f t="shared" ref="O98:O129" si="19">G98/M98</f>
        <v>2.1505609511418343E-3</v>
      </c>
      <c r="P98">
        <f t="shared" si="14"/>
        <v>312.34098046195948</v>
      </c>
      <c r="Q98">
        <f t="shared" si="15"/>
        <v>308.51643524298635</v>
      </c>
    </row>
    <row r="99" spans="1:17" x14ac:dyDescent="0.35">
      <c r="A99">
        <v>599</v>
      </c>
      <c r="B99" t="s">
        <v>97</v>
      </c>
      <c r="C99">
        <v>56868</v>
      </c>
      <c r="D99">
        <v>5832</v>
      </c>
      <c r="E99" s="1">
        <v>1238287</v>
      </c>
      <c r="F99" s="1">
        <v>1274875</v>
      </c>
      <c r="G99">
        <v>0.38</v>
      </c>
      <c r="H99">
        <v>0.6</v>
      </c>
      <c r="I99">
        <v>109104000</v>
      </c>
      <c r="J99">
        <v>392705833.33333331</v>
      </c>
      <c r="K99">
        <v>385059233.33333331</v>
      </c>
      <c r="L99">
        <f t="shared" si="16"/>
        <v>21.774759091228809</v>
      </c>
      <c r="M99">
        <f t="shared" si="17"/>
        <v>218.59996570644719</v>
      </c>
      <c r="N99">
        <f t="shared" si="18"/>
        <v>2.7554839871532205E-2</v>
      </c>
      <c r="O99">
        <f t="shared" si="19"/>
        <v>1.7383351308951857E-3</v>
      </c>
      <c r="P99">
        <f t="shared" si="14"/>
        <v>310.96121766063385</v>
      </c>
      <c r="Q99">
        <f t="shared" si="15"/>
        <v>308.03477465110956</v>
      </c>
    </row>
    <row r="100" spans="1:17" x14ac:dyDescent="0.35">
      <c r="A100">
        <v>600</v>
      </c>
      <c r="B100" t="s">
        <v>98</v>
      </c>
      <c r="C100">
        <v>45115</v>
      </c>
      <c r="D100">
        <v>4291</v>
      </c>
      <c r="E100" s="1">
        <v>948874</v>
      </c>
      <c r="F100" s="1">
        <v>918273</v>
      </c>
      <c r="G100">
        <v>0.32</v>
      </c>
      <c r="H100">
        <v>0.57999999999999996</v>
      </c>
      <c r="I100">
        <v>83816000</v>
      </c>
      <c r="J100">
        <v>282742500</v>
      </c>
      <c r="K100">
        <v>295133933.33333331</v>
      </c>
      <c r="L100">
        <f t="shared" si="16"/>
        <v>21.032339576637483</v>
      </c>
      <c r="M100">
        <f t="shared" si="17"/>
        <v>213.99976695408995</v>
      </c>
      <c r="N100">
        <f t="shared" si="18"/>
        <v>2.7576580241422989E-2</v>
      </c>
      <c r="O100">
        <f t="shared" si="19"/>
        <v>1.4953287312160981E-3</v>
      </c>
      <c r="P100">
        <f t="shared" si="14"/>
        <v>311.03595770706471</v>
      </c>
      <c r="Q100">
        <f t="shared" si="15"/>
        <v>307.90679895847967</v>
      </c>
    </row>
    <row r="101" spans="1:17" x14ac:dyDescent="0.35">
      <c r="A101">
        <v>601</v>
      </c>
      <c r="B101" t="s">
        <v>99</v>
      </c>
      <c r="C101">
        <v>45830</v>
      </c>
      <c r="D101">
        <v>6967</v>
      </c>
      <c r="E101" s="1">
        <v>1003163</v>
      </c>
      <c r="F101" s="1">
        <v>1625973</v>
      </c>
      <c r="G101">
        <v>0.39</v>
      </c>
      <c r="H101">
        <v>0.71</v>
      </c>
      <c r="I101">
        <v>102564000</v>
      </c>
      <c r="J101">
        <v>501988333.33333331</v>
      </c>
      <c r="K101">
        <v>309096166.66666669</v>
      </c>
      <c r="L101">
        <f t="shared" si="16"/>
        <v>21.888784638882829</v>
      </c>
      <c r="M101">
        <f t="shared" si="17"/>
        <v>233.38208698148415</v>
      </c>
      <c r="N101">
        <f t="shared" si="18"/>
        <v>3.2436702709330384E-2</v>
      </c>
      <c r="O101">
        <f t="shared" si="19"/>
        <v>1.6710794090676782E-3</v>
      </c>
      <c r="P101">
        <f t="shared" si="14"/>
        <v>308.12157811508865</v>
      </c>
      <c r="Q101">
        <f t="shared" si="15"/>
        <v>308.73103878928697</v>
      </c>
    </row>
    <row r="102" spans="1:17" x14ac:dyDescent="0.35">
      <c r="A102">
        <v>602</v>
      </c>
      <c r="B102" t="s">
        <v>100</v>
      </c>
      <c r="C102">
        <v>23890</v>
      </c>
      <c r="D102">
        <v>3195</v>
      </c>
      <c r="E102" s="1">
        <v>550790</v>
      </c>
      <c r="F102" s="1">
        <v>719252</v>
      </c>
      <c r="G102">
        <v>0.46</v>
      </c>
      <c r="H102">
        <v>0.75</v>
      </c>
      <c r="I102">
        <v>75968000</v>
      </c>
      <c r="J102">
        <v>221948333.33333334</v>
      </c>
      <c r="K102">
        <v>164391466.66666666</v>
      </c>
      <c r="L102">
        <f t="shared" si="16"/>
        <v>23.055253244035161</v>
      </c>
      <c r="M102">
        <f t="shared" si="17"/>
        <v>225.11799687010955</v>
      </c>
      <c r="N102">
        <f t="shared" si="18"/>
        <v>3.2530547032444311E-2</v>
      </c>
      <c r="O102">
        <f t="shared" si="19"/>
        <v>2.0433728373365663E-3</v>
      </c>
      <c r="P102">
        <f t="shared" si="14"/>
        <v>298.46487166917819</v>
      </c>
      <c r="Q102">
        <f t="shared" si="15"/>
        <v>308.58215664792499</v>
      </c>
    </row>
    <row r="103" spans="1:17" x14ac:dyDescent="0.35">
      <c r="A103">
        <v>603</v>
      </c>
      <c r="B103" t="s">
        <v>101</v>
      </c>
      <c r="C103">
        <v>40950</v>
      </c>
      <c r="D103">
        <v>3953</v>
      </c>
      <c r="E103" s="1">
        <v>836898</v>
      </c>
      <c r="F103" s="1">
        <v>910823</v>
      </c>
      <c r="G103">
        <v>0.38</v>
      </c>
      <c r="H103">
        <v>0.5</v>
      </c>
      <c r="I103">
        <v>76840000</v>
      </c>
      <c r="J103">
        <v>281081666.66666669</v>
      </c>
      <c r="K103">
        <v>259416566.66666666</v>
      </c>
      <c r="L103">
        <f t="shared" si="16"/>
        <v>20.437069597069598</v>
      </c>
      <c r="M103">
        <f t="shared" si="17"/>
        <v>230.41310397166708</v>
      </c>
      <c r="N103">
        <f t="shared" si="18"/>
        <v>2.4465347031537892E-2</v>
      </c>
      <c r="O103">
        <f t="shared" si="19"/>
        <v>1.6492117568396934E-3</v>
      </c>
      <c r="P103">
        <f t="shared" si="14"/>
        <v>309.97393549353285</v>
      </c>
      <c r="Q103">
        <f t="shared" si="15"/>
        <v>308.60185422048704</v>
      </c>
    </row>
    <row r="104" spans="1:17" x14ac:dyDescent="0.35">
      <c r="A104">
        <v>604</v>
      </c>
      <c r="B104" t="s">
        <v>102</v>
      </c>
      <c r="C104">
        <v>16757</v>
      </c>
      <c r="D104">
        <v>1182</v>
      </c>
      <c r="E104" s="1">
        <v>379188</v>
      </c>
      <c r="F104" s="1">
        <v>244878</v>
      </c>
      <c r="G104">
        <v>0.5</v>
      </c>
      <c r="H104">
        <v>0.62</v>
      </c>
      <c r="I104">
        <v>62888000</v>
      </c>
      <c r="J104">
        <v>72716666.666666672</v>
      </c>
      <c r="K104">
        <v>110176733.33333333</v>
      </c>
      <c r="L104">
        <f t="shared" si="16"/>
        <v>22.628632810168885</v>
      </c>
      <c r="M104">
        <f t="shared" si="17"/>
        <v>207.17258883248732</v>
      </c>
      <c r="N104">
        <f t="shared" si="18"/>
        <v>2.7398915577497178E-2</v>
      </c>
      <c r="O104">
        <f t="shared" si="19"/>
        <v>2.4134466959057164E-3</v>
      </c>
      <c r="P104">
        <f t="shared" si="14"/>
        <v>290.55965202836938</v>
      </c>
      <c r="Q104">
        <f t="shared" si="15"/>
        <v>296.95059036200342</v>
      </c>
    </row>
    <row r="105" spans="1:17" x14ac:dyDescent="0.35">
      <c r="A105">
        <v>605</v>
      </c>
      <c r="B105" t="s">
        <v>103</v>
      </c>
      <c r="C105">
        <v>58259</v>
      </c>
      <c r="D105">
        <v>3993</v>
      </c>
      <c r="E105" s="1">
        <v>1115146</v>
      </c>
      <c r="F105" s="1">
        <v>792664</v>
      </c>
      <c r="G105">
        <v>0.31</v>
      </c>
      <c r="H105">
        <v>0.57999999999999996</v>
      </c>
      <c r="I105">
        <v>72916000</v>
      </c>
      <c r="J105">
        <v>242645000</v>
      </c>
      <c r="K105">
        <v>353084333.33333331</v>
      </c>
      <c r="L105">
        <f t="shared" si="16"/>
        <v>19.141179903534219</v>
      </c>
      <c r="M105">
        <f t="shared" si="17"/>
        <v>198.51339844728275</v>
      </c>
      <c r="N105">
        <f t="shared" si="18"/>
        <v>3.0301162359009488E-2</v>
      </c>
      <c r="O105">
        <f t="shared" si="19"/>
        <v>1.5616074402268804E-3</v>
      </c>
      <c r="P105">
        <f t="shared" si="14"/>
        <v>316.62610396605766</v>
      </c>
      <c r="Q105">
        <f t="shared" si="15"/>
        <v>306.11330904393287</v>
      </c>
    </row>
    <row r="106" spans="1:17" x14ac:dyDescent="0.35">
      <c r="A106">
        <v>606</v>
      </c>
      <c r="B106" t="s">
        <v>104</v>
      </c>
      <c r="C106">
        <v>25337</v>
      </c>
      <c r="D106">
        <v>1874</v>
      </c>
      <c r="E106" s="1">
        <v>557822</v>
      </c>
      <c r="F106" s="1">
        <v>400441</v>
      </c>
      <c r="G106">
        <v>0.28999999999999998</v>
      </c>
      <c r="H106">
        <v>0.44</v>
      </c>
      <c r="I106">
        <v>69864000</v>
      </c>
      <c r="J106">
        <v>118045833.33333333</v>
      </c>
      <c r="K106">
        <v>168113666.66666666</v>
      </c>
      <c r="L106">
        <f t="shared" si="16"/>
        <v>22.0161029324703</v>
      </c>
      <c r="M106">
        <f t="shared" si="17"/>
        <v>213.68249733191035</v>
      </c>
      <c r="N106">
        <f t="shared" si="18"/>
        <v>1.9985371677703642E-2</v>
      </c>
      <c r="O106">
        <f t="shared" si="19"/>
        <v>1.3571537380038506E-3</v>
      </c>
      <c r="P106">
        <f t="shared" si="14"/>
        <v>301.37511010083261</v>
      </c>
      <c r="Q106">
        <f t="shared" si="15"/>
        <v>294.78957782378262</v>
      </c>
    </row>
    <row r="107" spans="1:17" x14ac:dyDescent="0.35">
      <c r="A107">
        <v>607</v>
      </c>
      <c r="B107" t="s">
        <v>105</v>
      </c>
      <c r="C107">
        <v>70720</v>
      </c>
      <c r="D107">
        <v>3552</v>
      </c>
      <c r="E107" s="1">
        <v>1346995</v>
      </c>
      <c r="F107" s="1">
        <v>719845</v>
      </c>
      <c r="G107">
        <v>0.42</v>
      </c>
      <c r="H107">
        <v>0.56999999999999995</v>
      </c>
      <c r="I107">
        <v>77712000</v>
      </c>
      <c r="J107">
        <v>220610000</v>
      </c>
      <c r="K107">
        <v>429218933.33333331</v>
      </c>
      <c r="L107">
        <f t="shared" si="16"/>
        <v>19.046875</v>
      </c>
      <c r="M107">
        <f t="shared" si="17"/>
        <v>202.6590653153153</v>
      </c>
      <c r="N107">
        <f t="shared" si="18"/>
        <v>2.9926168990976207E-2</v>
      </c>
      <c r="O107">
        <f t="shared" si="19"/>
        <v>2.0724461516020811E-3</v>
      </c>
      <c r="P107">
        <f t="shared" si="14"/>
        <v>318.64924022237153</v>
      </c>
      <c r="Q107">
        <f t="shared" si="15"/>
        <v>306.4687536900305</v>
      </c>
    </row>
    <row r="108" spans="1:17" x14ac:dyDescent="0.35">
      <c r="A108">
        <v>608</v>
      </c>
      <c r="B108" t="s">
        <v>106</v>
      </c>
      <c r="C108">
        <v>16736</v>
      </c>
      <c r="D108">
        <v>5080</v>
      </c>
      <c r="E108" s="1">
        <v>438791</v>
      </c>
      <c r="F108" s="1">
        <v>1149514</v>
      </c>
      <c r="G108">
        <v>0.41</v>
      </c>
      <c r="H108">
        <v>0.56999999999999995</v>
      </c>
      <c r="I108">
        <v>83380000</v>
      </c>
      <c r="J108">
        <v>354833333.33333331</v>
      </c>
      <c r="K108">
        <v>125680433.33333333</v>
      </c>
      <c r="L108">
        <f t="shared" si="16"/>
        <v>26.218391491395792</v>
      </c>
      <c r="M108">
        <f t="shared" si="17"/>
        <v>226.28228346456692</v>
      </c>
      <c r="N108">
        <f t="shared" si="18"/>
        <v>2.1740464138963651E-2</v>
      </c>
      <c r="O108">
        <f t="shared" si="19"/>
        <v>1.8118961578545369E-3</v>
      </c>
      <c r="P108">
        <f t="shared" si="14"/>
        <v>286.42436452282141</v>
      </c>
      <c r="Q108">
        <f t="shared" si="15"/>
        <v>308.68117598683733</v>
      </c>
    </row>
    <row r="109" spans="1:17" x14ac:dyDescent="0.35">
      <c r="A109">
        <v>609</v>
      </c>
      <c r="B109" t="s">
        <v>107</v>
      </c>
      <c r="C109">
        <v>29327</v>
      </c>
      <c r="D109">
        <v>5539</v>
      </c>
      <c r="E109" s="1">
        <v>682804</v>
      </c>
      <c r="F109" s="1">
        <v>1487150</v>
      </c>
      <c r="G109">
        <v>0.44</v>
      </c>
      <c r="H109">
        <v>0.72</v>
      </c>
      <c r="I109">
        <v>90356000</v>
      </c>
      <c r="J109">
        <v>461230000</v>
      </c>
      <c r="K109">
        <v>205065900</v>
      </c>
      <c r="L109">
        <f t="shared" si="16"/>
        <v>23.282435980495787</v>
      </c>
      <c r="M109">
        <f t="shared" si="17"/>
        <v>268.48709153276764</v>
      </c>
      <c r="N109">
        <f t="shared" si="18"/>
        <v>3.0924599152904787E-2</v>
      </c>
      <c r="O109">
        <f t="shared" si="19"/>
        <v>1.6388124936959959E-3</v>
      </c>
      <c r="P109">
        <f t="shared" si="14"/>
        <v>300.32908418814185</v>
      </c>
      <c r="Q109">
        <f t="shared" si="15"/>
        <v>310.14356319133913</v>
      </c>
    </row>
    <row r="110" spans="1:17" x14ac:dyDescent="0.35">
      <c r="A110">
        <v>610</v>
      </c>
      <c r="B110" t="s">
        <v>108</v>
      </c>
      <c r="C110">
        <v>22853</v>
      </c>
      <c r="D110">
        <v>1566</v>
      </c>
      <c r="E110" s="1">
        <v>524989</v>
      </c>
      <c r="F110" s="1">
        <v>349772</v>
      </c>
      <c r="G110">
        <v>0.36</v>
      </c>
      <c r="H110">
        <v>0.64</v>
      </c>
      <c r="I110">
        <v>75532000</v>
      </c>
      <c r="J110">
        <v>105480000</v>
      </c>
      <c r="K110">
        <v>155791166.66666666</v>
      </c>
      <c r="L110">
        <f t="shared" si="16"/>
        <v>22.972432503391239</v>
      </c>
      <c r="M110">
        <f t="shared" si="17"/>
        <v>223.35376756066412</v>
      </c>
      <c r="N110">
        <f t="shared" si="18"/>
        <v>2.7859478960511556E-2</v>
      </c>
      <c r="O110">
        <f t="shared" si="19"/>
        <v>1.6117928250403118E-3</v>
      </c>
      <c r="P110">
        <f t="shared" si="14"/>
        <v>296.75129701130243</v>
      </c>
      <c r="Q110">
        <f t="shared" si="15"/>
        <v>301.56787850371097</v>
      </c>
    </row>
    <row r="111" spans="1:17" x14ac:dyDescent="0.35">
      <c r="A111">
        <v>611</v>
      </c>
      <c r="B111" t="s">
        <v>109</v>
      </c>
      <c r="C111">
        <v>72116</v>
      </c>
      <c r="D111">
        <v>3095</v>
      </c>
      <c r="E111" s="1">
        <v>1452385</v>
      </c>
      <c r="F111" s="1">
        <v>663906</v>
      </c>
      <c r="G111">
        <v>0.36</v>
      </c>
      <c r="H111">
        <v>0.43</v>
      </c>
      <c r="I111">
        <v>101256000</v>
      </c>
      <c r="J111">
        <v>199865833.33333334</v>
      </c>
      <c r="K111">
        <v>458607333.33333331</v>
      </c>
      <c r="L111">
        <f t="shared" si="16"/>
        <v>20.139566809029898</v>
      </c>
      <c r="M111">
        <f t="shared" si="17"/>
        <v>214.5092084006462</v>
      </c>
      <c r="N111">
        <f t="shared" si="18"/>
        <v>2.1351005415230807E-2</v>
      </c>
      <c r="O111">
        <f t="shared" si="19"/>
        <v>1.678249631724973E-3</v>
      </c>
      <c r="P111">
        <f t="shared" si="14"/>
        <v>315.76154623831377</v>
      </c>
      <c r="Q111">
        <f t="shared" si="15"/>
        <v>301.04537891408324</v>
      </c>
    </row>
    <row r="112" spans="1:17" x14ac:dyDescent="0.35">
      <c r="A112">
        <v>612</v>
      </c>
      <c r="B112" t="s">
        <v>110</v>
      </c>
      <c r="C112">
        <v>20421</v>
      </c>
      <c r="D112">
        <v>3483</v>
      </c>
      <c r="E112" s="1">
        <v>451566</v>
      </c>
      <c r="F112" s="1">
        <v>737024</v>
      </c>
      <c r="G112">
        <v>0.21</v>
      </c>
      <c r="H112">
        <v>0.41</v>
      </c>
      <c r="I112">
        <v>68556000</v>
      </c>
      <c r="J112">
        <v>225416666.66666666</v>
      </c>
      <c r="K112">
        <v>133269000</v>
      </c>
      <c r="L112">
        <f t="shared" si="16"/>
        <v>22.112825033054207</v>
      </c>
      <c r="M112">
        <f t="shared" si="17"/>
        <v>211.6060867068619</v>
      </c>
      <c r="N112">
        <f t="shared" si="18"/>
        <v>1.8541276358273209E-2</v>
      </c>
      <c r="O112">
        <f t="shared" si="19"/>
        <v>9.9241001649878432E-4</v>
      </c>
      <c r="P112">
        <f t="shared" si="14"/>
        <v>295.12629383080213</v>
      </c>
      <c r="Q112">
        <f t="shared" si="15"/>
        <v>305.84711850179457</v>
      </c>
    </row>
    <row r="113" spans="1:17" x14ac:dyDescent="0.35">
      <c r="A113">
        <v>613</v>
      </c>
      <c r="B113" t="s">
        <v>111</v>
      </c>
      <c r="C113">
        <v>65879</v>
      </c>
      <c r="D113">
        <v>5490</v>
      </c>
      <c r="E113" s="1">
        <v>1402351</v>
      </c>
      <c r="F113" s="1">
        <v>1184391</v>
      </c>
      <c r="G113">
        <v>0.37</v>
      </c>
      <c r="H113">
        <v>0.55000000000000004</v>
      </c>
      <c r="I113">
        <v>111720000</v>
      </c>
      <c r="J113">
        <v>363446666.66666669</v>
      </c>
      <c r="K113">
        <v>439058433.33333331</v>
      </c>
      <c r="L113">
        <f t="shared" si="16"/>
        <v>21.28676816587987</v>
      </c>
      <c r="M113">
        <f t="shared" si="17"/>
        <v>215.7360655737705</v>
      </c>
      <c r="N113">
        <f t="shared" si="18"/>
        <v>2.5837646922917304E-2</v>
      </c>
      <c r="O113">
        <f t="shared" si="19"/>
        <v>1.7150586250655399E-3</v>
      </c>
      <c r="P113">
        <f t="shared" si="14"/>
        <v>313.08740346270889</v>
      </c>
      <c r="Q113">
        <f t="shared" si="15"/>
        <v>306.86375248264017</v>
      </c>
    </row>
    <row r="114" spans="1:17" x14ac:dyDescent="0.35">
      <c r="A114">
        <v>614</v>
      </c>
      <c r="B114" t="s">
        <v>112</v>
      </c>
      <c r="C114">
        <v>43491</v>
      </c>
      <c r="D114">
        <v>3032</v>
      </c>
      <c r="E114" s="1">
        <v>924511</v>
      </c>
      <c r="F114" s="1">
        <v>630481</v>
      </c>
      <c r="G114">
        <v>0.37</v>
      </c>
      <c r="H114">
        <v>0.48</v>
      </c>
      <c r="I114">
        <v>87304000</v>
      </c>
      <c r="J114">
        <v>191356666.66666666</v>
      </c>
      <c r="K114">
        <v>285979466.66666669</v>
      </c>
      <c r="L114">
        <f t="shared" si="16"/>
        <v>21.257524545308225</v>
      </c>
      <c r="M114">
        <f t="shared" si="17"/>
        <v>207.94228232189974</v>
      </c>
      <c r="N114">
        <f t="shared" si="18"/>
        <v>2.2580239715914684E-2</v>
      </c>
      <c r="O114">
        <f t="shared" si="19"/>
        <v>1.7793399008058926E-3</v>
      </c>
      <c r="P114">
        <f t="shared" si="14"/>
        <v>309.33051815139754</v>
      </c>
      <c r="Q114">
        <f t="shared" si="15"/>
        <v>303.50901401734018</v>
      </c>
    </row>
    <row r="115" spans="1:17" x14ac:dyDescent="0.35">
      <c r="A115">
        <v>615</v>
      </c>
      <c r="B115" t="s">
        <v>113</v>
      </c>
      <c r="C115">
        <v>40584</v>
      </c>
      <c r="D115">
        <v>2772</v>
      </c>
      <c r="E115" s="1">
        <v>840574</v>
      </c>
      <c r="F115" s="1">
        <v>577114</v>
      </c>
      <c r="G115">
        <v>0.39</v>
      </c>
      <c r="H115">
        <v>0.49</v>
      </c>
      <c r="I115">
        <v>80764000</v>
      </c>
      <c r="J115">
        <v>176420000</v>
      </c>
      <c r="K115">
        <v>259838066.66666666</v>
      </c>
      <c r="L115">
        <f t="shared" si="16"/>
        <v>20.711955450423812</v>
      </c>
      <c r="M115">
        <f t="shared" si="17"/>
        <v>208.1940836940837</v>
      </c>
      <c r="N115">
        <f t="shared" si="18"/>
        <v>2.3657833813560732E-2</v>
      </c>
      <c r="O115">
        <f t="shared" si="19"/>
        <v>1.8732520784455063E-3</v>
      </c>
      <c r="P115">
        <f t="shared" si="14"/>
        <v>309.11979988277852</v>
      </c>
      <c r="Q115">
        <f t="shared" si="15"/>
        <v>305.693502496907</v>
      </c>
    </row>
    <row r="116" spans="1:17" x14ac:dyDescent="0.35">
      <c r="A116">
        <v>616</v>
      </c>
      <c r="B116" t="s">
        <v>114</v>
      </c>
      <c r="C116">
        <v>60652</v>
      </c>
      <c r="D116">
        <v>4129</v>
      </c>
      <c r="E116" s="1">
        <v>1256513</v>
      </c>
      <c r="F116" s="1">
        <v>893903</v>
      </c>
      <c r="G116">
        <v>0.41</v>
      </c>
      <c r="H116">
        <v>0.53</v>
      </c>
      <c r="I116">
        <v>99948000</v>
      </c>
      <c r="J116">
        <v>275058333.33333331</v>
      </c>
      <c r="K116">
        <v>393431533.33333331</v>
      </c>
      <c r="L116">
        <f t="shared" si="16"/>
        <v>20.716761195014179</v>
      </c>
      <c r="M116">
        <f t="shared" si="17"/>
        <v>216.49382417050134</v>
      </c>
      <c r="N116">
        <f t="shared" si="18"/>
        <v>2.5583149557545367E-2</v>
      </c>
      <c r="O116">
        <f t="shared" si="19"/>
        <v>1.893818456812428E-3</v>
      </c>
      <c r="P116">
        <f t="shared" si="14"/>
        <v>313.11377863446961</v>
      </c>
      <c r="Q116">
        <f t="shared" si="15"/>
        <v>307.70490012152698</v>
      </c>
    </row>
    <row r="117" spans="1:17" x14ac:dyDescent="0.35">
      <c r="A117">
        <v>617</v>
      </c>
      <c r="B117" t="s">
        <v>115</v>
      </c>
      <c r="C117">
        <v>80048</v>
      </c>
      <c r="D117">
        <v>5199</v>
      </c>
      <c r="E117" s="1">
        <v>1570009</v>
      </c>
      <c r="F117" s="1">
        <v>1131990</v>
      </c>
      <c r="G117">
        <v>0.27</v>
      </c>
      <c r="H117">
        <v>0.42</v>
      </c>
      <c r="I117">
        <v>93408000</v>
      </c>
      <c r="J117">
        <v>346475000</v>
      </c>
      <c r="K117">
        <v>499652766.66666669</v>
      </c>
      <c r="L117">
        <f t="shared" si="16"/>
        <v>19.613344493304016</v>
      </c>
      <c r="M117">
        <f t="shared" si="17"/>
        <v>217.73225620311598</v>
      </c>
      <c r="N117">
        <f t="shared" si="18"/>
        <v>2.1413991894313984E-2</v>
      </c>
      <c r="O117">
        <f t="shared" si="19"/>
        <v>1.2400551241618742E-3</v>
      </c>
      <c r="P117">
        <f t="shared" si="14"/>
        <v>318.24834549780712</v>
      </c>
      <c r="Q117">
        <f t="shared" si="15"/>
        <v>306.07602540658485</v>
      </c>
    </row>
    <row r="118" spans="1:17" x14ac:dyDescent="0.35">
      <c r="A118">
        <v>618</v>
      </c>
      <c r="B118" t="s">
        <v>116</v>
      </c>
      <c r="C118">
        <v>50275</v>
      </c>
      <c r="D118">
        <v>2818</v>
      </c>
      <c r="E118" s="1">
        <v>1040667</v>
      </c>
      <c r="F118" s="1">
        <v>564376</v>
      </c>
      <c r="G118">
        <v>0.31</v>
      </c>
      <c r="H118">
        <v>0.5</v>
      </c>
      <c r="I118">
        <v>79456000</v>
      </c>
      <c r="J118">
        <v>172033333.33333334</v>
      </c>
      <c r="K118">
        <v>326880200</v>
      </c>
      <c r="L118">
        <f t="shared" si="16"/>
        <v>20.699492789656887</v>
      </c>
      <c r="M118">
        <f t="shared" si="17"/>
        <v>200.27537260468418</v>
      </c>
      <c r="N118">
        <f t="shared" si="18"/>
        <v>2.4155181244336566E-2</v>
      </c>
      <c r="O118">
        <f t="shared" si="19"/>
        <v>1.5478687966887323E-3</v>
      </c>
      <c r="P118">
        <f t="shared" si="14"/>
        <v>314.10643366225702</v>
      </c>
      <c r="Q118">
        <f t="shared" si="15"/>
        <v>304.82042704390926</v>
      </c>
    </row>
    <row r="119" spans="1:17" x14ac:dyDescent="0.35">
      <c r="A119">
        <v>619</v>
      </c>
      <c r="B119" t="s">
        <v>117</v>
      </c>
      <c r="C119">
        <v>38141</v>
      </c>
      <c r="D119">
        <v>5070</v>
      </c>
      <c r="E119" s="1">
        <v>748412</v>
      </c>
      <c r="F119" s="1">
        <v>1006299</v>
      </c>
      <c r="G119">
        <v>0.27</v>
      </c>
      <c r="H119">
        <v>0.52</v>
      </c>
      <c r="I119">
        <v>65068000</v>
      </c>
      <c r="J119">
        <v>309505000</v>
      </c>
      <c r="K119">
        <v>233136666.66666666</v>
      </c>
      <c r="L119">
        <f t="shared" si="16"/>
        <v>19.622243779659684</v>
      </c>
      <c r="M119">
        <f t="shared" si="17"/>
        <v>198.48106508875739</v>
      </c>
      <c r="N119">
        <f t="shared" si="18"/>
        <v>2.6500537137298708E-2</v>
      </c>
      <c r="O119">
        <f t="shared" si="19"/>
        <v>1.3603312733094241E-3</v>
      </c>
      <c r="P119">
        <f t="shared" si="14"/>
        <v>311.50845612666109</v>
      </c>
      <c r="Q119">
        <f t="shared" si="15"/>
        <v>307.56763148924921</v>
      </c>
    </row>
    <row r="120" spans="1:17" x14ac:dyDescent="0.35">
      <c r="A120">
        <v>620</v>
      </c>
      <c r="B120" t="s">
        <v>118</v>
      </c>
      <c r="C120">
        <v>26503</v>
      </c>
      <c r="D120">
        <v>2973</v>
      </c>
      <c r="E120" s="1">
        <v>610194</v>
      </c>
      <c r="F120" s="1">
        <v>653406</v>
      </c>
      <c r="G120">
        <v>0.41</v>
      </c>
      <c r="H120">
        <v>0.57999999999999996</v>
      </c>
      <c r="I120">
        <v>83380000</v>
      </c>
      <c r="J120">
        <v>200965000</v>
      </c>
      <c r="K120">
        <v>182470266.66666666</v>
      </c>
      <c r="L120">
        <f t="shared" si="16"/>
        <v>23.023582235973286</v>
      </c>
      <c r="M120">
        <f t="shared" si="17"/>
        <v>219.78002018163471</v>
      </c>
      <c r="N120">
        <f t="shared" si="18"/>
        <v>2.5191562027814102E-2</v>
      </c>
      <c r="O120">
        <f t="shared" si="19"/>
        <v>1.8655016941993186E-3</v>
      </c>
      <c r="P120">
        <f t="shared" si="14"/>
        <v>299.0364812939273</v>
      </c>
      <c r="Q120">
        <f t="shared" si="15"/>
        <v>307.56528100445973</v>
      </c>
    </row>
    <row r="121" spans="1:17" x14ac:dyDescent="0.35">
      <c r="A121">
        <v>621</v>
      </c>
      <c r="B121" t="s">
        <v>119</v>
      </c>
      <c r="C121">
        <v>59477</v>
      </c>
      <c r="D121">
        <v>8519</v>
      </c>
      <c r="E121" s="1">
        <v>1244023</v>
      </c>
      <c r="F121" s="1">
        <v>1818786</v>
      </c>
      <c r="G121">
        <v>0.41</v>
      </c>
      <c r="H121">
        <v>0.66</v>
      </c>
      <c r="I121">
        <v>103872000</v>
      </c>
      <c r="J121">
        <v>560398333.33333337</v>
      </c>
      <c r="K121">
        <v>389038300</v>
      </c>
      <c r="L121">
        <f t="shared" si="16"/>
        <v>20.916034769742925</v>
      </c>
      <c r="M121">
        <f t="shared" si="17"/>
        <v>213.49759361427397</v>
      </c>
      <c r="N121">
        <f t="shared" si="18"/>
        <v>3.155473813587048E-2</v>
      </c>
      <c r="O121">
        <f t="shared" si="19"/>
        <v>1.9203963522921334E-3</v>
      </c>
      <c r="P121">
        <f t="shared" si="14"/>
        <v>312.72597050054543</v>
      </c>
      <c r="Q121">
        <f t="shared" si="15"/>
        <v>308.116696155201</v>
      </c>
    </row>
    <row r="122" spans="1:17" x14ac:dyDescent="0.35">
      <c r="A122">
        <v>622</v>
      </c>
      <c r="B122" t="s">
        <v>120</v>
      </c>
      <c r="C122">
        <v>35198</v>
      </c>
      <c r="D122">
        <v>3743</v>
      </c>
      <c r="E122" s="1">
        <v>740054</v>
      </c>
      <c r="F122" s="1">
        <v>825750</v>
      </c>
      <c r="G122">
        <v>0.35</v>
      </c>
      <c r="H122">
        <v>0.65</v>
      </c>
      <c r="I122">
        <v>78148000</v>
      </c>
      <c r="J122">
        <v>254071666.66666666</v>
      </c>
      <c r="K122">
        <v>226905333.33333334</v>
      </c>
      <c r="L122">
        <f t="shared" si="16"/>
        <v>21.025455991817719</v>
      </c>
      <c r="M122">
        <f t="shared" si="17"/>
        <v>220.61180870959123</v>
      </c>
      <c r="N122">
        <f t="shared" si="18"/>
        <v>3.0914906209546868E-2</v>
      </c>
      <c r="O122">
        <f t="shared" si="19"/>
        <v>1.5864971238268241E-3</v>
      </c>
      <c r="P122">
        <f t="shared" si="14"/>
        <v>306.60645484428613</v>
      </c>
      <c r="Q122">
        <f t="shared" si="15"/>
        <v>307.68594207286304</v>
      </c>
    </row>
    <row r="123" spans="1:17" x14ac:dyDescent="0.35">
      <c r="A123">
        <v>623</v>
      </c>
      <c r="B123" t="s">
        <v>121</v>
      </c>
      <c r="C123">
        <v>8142</v>
      </c>
      <c r="D123">
        <v>756</v>
      </c>
      <c r="E123" s="1">
        <v>204354</v>
      </c>
      <c r="F123" s="1">
        <v>151468</v>
      </c>
      <c r="G123">
        <v>0.26</v>
      </c>
      <c r="H123">
        <v>0.6</v>
      </c>
      <c r="I123">
        <v>56348000</v>
      </c>
      <c r="J123">
        <v>44626666.666666664</v>
      </c>
      <c r="K123">
        <v>53506300</v>
      </c>
      <c r="L123">
        <f t="shared" si="16"/>
        <v>25.098747236551215</v>
      </c>
      <c r="M123">
        <f t="shared" si="17"/>
        <v>200.35449735449737</v>
      </c>
      <c r="N123">
        <f t="shared" si="18"/>
        <v>2.3905575618779176E-2</v>
      </c>
      <c r="O123">
        <f t="shared" si="19"/>
        <v>1.2976998441915123E-3</v>
      </c>
      <c r="P123">
        <f t="shared" si="14"/>
        <v>261.83142977382386</v>
      </c>
      <c r="Q123">
        <f t="shared" si="15"/>
        <v>294.6276881365481</v>
      </c>
    </row>
    <row r="124" spans="1:17" x14ac:dyDescent="0.35">
      <c r="A124">
        <v>624</v>
      </c>
      <c r="B124" t="s">
        <v>122</v>
      </c>
      <c r="C124">
        <v>42622</v>
      </c>
      <c r="D124">
        <v>5212</v>
      </c>
      <c r="E124" s="1">
        <v>862385</v>
      </c>
      <c r="F124" s="1">
        <v>1074818</v>
      </c>
      <c r="G124">
        <v>0.33</v>
      </c>
      <c r="H124">
        <v>0.56000000000000005</v>
      </c>
      <c r="I124">
        <v>74660000</v>
      </c>
      <c r="J124">
        <v>330928333.33333331</v>
      </c>
      <c r="K124">
        <v>268486300</v>
      </c>
      <c r="L124">
        <f t="shared" si="16"/>
        <v>20.233330205058422</v>
      </c>
      <c r="M124">
        <f t="shared" si="17"/>
        <v>206.21987720644665</v>
      </c>
      <c r="N124">
        <f t="shared" si="18"/>
        <v>2.7677104773390075E-2</v>
      </c>
      <c r="O124">
        <f t="shared" si="19"/>
        <v>1.6002337139869264E-3</v>
      </c>
      <c r="P124">
        <f t="shared" si="14"/>
        <v>311.32997443137344</v>
      </c>
      <c r="Q124">
        <f t="shared" si="15"/>
        <v>307.89243698312953</v>
      </c>
    </row>
    <row r="125" spans="1:17" x14ac:dyDescent="0.35">
      <c r="A125">
        <v>625</v>
      </c>
      <c r="B125" t="s">
        <v>123</v>
      </c>
      <c r="C125">
        <v>43382</v>
      </c>
      <c r="D125">
        <v>4450</v>
      </c>
      <c r="E125" s="1">
        <v>945268</v>
      </c>
      <c r="F125" s="1">
        <v>954285</v>
      </c>
      <c r="G125">
        <v>0.33</v>
      </c>
      <c r="H125">
        <v>0.52</v>
      </c>
      <c r="I125">
        <v>97332000</v>
      </c>
      <c r="J125">
        <v>288293333.33333331</v>
      </c>
      <c r="K125">
        <v>290831333.33333331</v>
      </c>
      <c r="L125">
        <f t="shared" si="16"/>
        <v>21.789405744317921</v>
      </c>
      <c r="M125">
        <f t="shared" si="17"/>
        <v>214.44606741573034</v>
      </c>
      <c r="N125">
        <f t="shared" si="18"/>
        <v>2.3864808710334001E-2</v>
      </c>
      <c r="O125">
        <f t="shared" si="19"/>
        <v>1.5388484572218992E-3</v>
      </c>
      <c r="P125">
        <f t="shared" si="14"/>
        <v>307.67076991216601</v>
      </c>
      <c r="Q125">
        <f t="shared" si="15"/>
        <v>302.10401854093203</v>
      </c>
    </row>
    <row r="126" spans="1:17" x14ac:dyDescent="0.35">
      <c r="A126">
        <v>626</v>
      </c>
      <c r="B126" t="s">
        <v>124</v>
      </c>
      <c r="C126">
        <v>63960</v>
      </c>
      <c r="D126">
        <v>3235</v>
      </c>
      <c r="E126" s="1">
        <v>1229074</v>
      </c>
      <c r="F126" s="1">
        <v>680925</v>
      </c>
      <c r="G126">
        <v>0.35</v>
      </c>
      <c r="H126">
        <v>0.56000000000000005</v>
      </c>
      <c r="I126">
        <v>75968000</v>
      </c>
      <c r="J126">
        <v>208688333.33333334</v>
      </c>
      <c r="K126">
        <v>390371400</v>
      </c>
      <c r="L126">
        <f t="shared" si="16"/>
        <v>19.216291432145091</v>
      </c>
      <c r="M126">
        <f t="shared" si="17"/>
        <v>210.48686244204018</v>
      </c>
      <c r="N126">
        <f t="shared" si="18"/>
        <v>2.914193937875181E-2</v>
      </c>
      <c r="O126">
        <f t="shared" si="19"/>
        <v>1.662811616551015E-3</v>
      </c>
      <c r="P126">
        <f t="shared" si="14"/>
        <v>317.61423640887369</v>
      </c>
      <c r="Q126">
        <f t="shared" si="15"/>
        <v>306.47770801972808</v>
      </c>
    </row>
    <row r="127" spans="1:17" x14ac:dyDescent="0.35">
      <c r="A127">
        <v>627</v>
      </c>
      <c r="B127" t="s">
        <v>125</v>
      </c>
      <c r="C127">
        <v>30070</v>
      </c>
      <c r="D127">
        <v>2796</v>
      </c>
      <c r="E127" s="1">
        <v>617293</v>
      </c>
      <c r="F127" s="1">
        <v>544443</v>
      </c>
      <c r="G127">
        <v>0.32</v>
      </c>
      <c r="H127">
        <v>0.45</v>
      </c>
      <c r="I127">
        <v>68556000</v>
      </c>
      <c r="J127">
        <v>166700000</v>
      </c>
      <c r="K127">
        <v>188396666.66666666</v>
      </c>
      <c r="L127">
        <f t="shared" si="16"/>
        <v>20.528533422015297</v>
      </c>
      <c r="M127">
        <f t="shared" si="17"/>
        <v>194.72210300429185</v>
      </c>
      <c r="N127">
        <f t="shared" si="18"/>
        <v>2.1920708642411305E-2</v>
      </c>
      <c r="O127">
        <f t="shared" si="19"/>
        <v>1.6433676252610467E-3</v>
      </c>
      <c r="P127">
        <f t="shared" si="14"/>
        <v>305.19812579547585</v>
      </c>
      <c r="Q127">
        <f t="shared" si="15"/>
        <v>306.18448579557457</v>
      </c>
    </row>
    <row r="128" spans="1:17" x14ac:dyDescent="0.35">
      <c r="A128">
        <v>628</v>
      </c>
      <c r="B128" t="s">
        <v>126</v>
      </c>
      <c r="C128">
        <v>56776</v>
      </c>
      <c r="D128">
        <v>2941</v>
      </c>
      <c r="E128" s="1">
        <v>1141905</v>
      </c>
      <c r="F128" s="1">
        <v>593081</v>
      </c>
      <c r="G128">
        <v>0.39</v>
      </c>
      <c r="H128">
        <v>0.55000000000000004</v>
      </c>
      <c r="I128">
        <v>82508000</v>
      </c>
      <c r="J128">
        <v>179799166.66666666</v>
      </c>
      <c r="K128">
        <v>359362833.33333331</v>
      </c>
      <c r="L128">
        <f t="shared" si="16"/>
        <v>20.112459489925321</v>
      </c>
      <c r="M128">
        <f t="shared" si="17"/>
        <v>201.65963957837471</v>
      </c>
      <c r="N128">
        <f t="shared" si="18"/>
        <v>2.7346232830226684E-2</v>
      </c>
      <c r="O128">
        <f t="shared" si="19"/>
        <v>1.9339516861946345E-3</v>
      </c>
      <c r="P128">
        <f t="shared" si="14"/>
        <v>314.70466749277159</v>
      </c>
      <c r="Q128">
        <f t="shared" si="15"/>
        <v>303.1612320520581</v>
      </c>
    </row>
    <row r="129" spans="1:17" x14ac:dyDescent="0.35">
      <c r="A129">
        <v>629</v>
      </c>
      <c r="B129" t="s">
        <v>127</v>
      </c>
      <c r="C129">
        <v>15203</v>
      </c>
      <c r="D129">
        <v>418</v>
      </c>
      <c r="E129" s="1">
        <v>345558</v>
      </c>
      <c r="F129" s="1">
        <v>86448</v>
      </c>
      <c r="G129">
        <v>0.36</v>
      </c>
      <c r="H129">
        <v>0.48</v>
      </c>
      <c r="I129">
        <v>58964000</v>
      </c>
      <c r="J129">
        <v>25475833.333333332</v>
      </c>
      <c r="K129">
        <v>99655600</v>
      </c>
      <c r="L129">
        <f t="shared" si="16"/>
        <v>22.729592843517725</v>
      </c>
      <c r="M129">
        <f t="shared" si="17"/>
        <v>206.8133971291866</v>
      </c>
      <c r="N129">
        <f t="shared" si="18"/>
        <v>2.111784418245273E-2</v>
      </c>
      <c r="O129">
        <f t="shared" si="19"/>
        <v>1.7406996113270405E-3</v>
      </c>
      <c r="P129">
        <f t="shared" si="14"/>
        <v>288.39037151505681</v>
      </c>
      <c r="Q129">
        <f t="shared" si="15"/>
        <v>294.69546239743352</v>
      </c>
    </row>
    <row r="130" spans="1:17" x14ac:dyDescent="0.35">
      <c r="A130">
        <v>630</v>
      </c>
      <c r="B130" t="s">
        <v>128</v>
      </c>
      <c r="C130">
        <v>28496</v>
      </c>
      <c r="D130">
        <v>2383</v>
      </c>
      <c r="E130" s="1">
        <v>629509</v>
      </c>
      <c r="F130" s="1">
        <v>624640</v>
      </c>
      <c r="G130">
        <v>0.33</v>
      </c>
      <c r="H130">
        <v>0.61</v>
      </c>
      <c r="I130">
        <v>78584000</v>
      </c>
      <c r="J130">
        <v>192108333.33333334</v>
      </c>
      <c r="K130">
        <v>189827333.33333334</v>
      </c>
      <c r="L130">
        <f t="shared" ref="L130:L139" si="20">E130/C130</f>
        <v>22.091135597978663</v>
      </c>
      <c r="M130">
        <f t="shared" ref="M130:M139" si="21">F130/D130</f>
        <v>262.12337389844731</v>
      </c>
      <c r="N130">
        <f t="shared" ref="N130:N161" si="22">H130/L130</f>
        <v>2.7612885598140773E-2</v>
      </c>
      <c r="O130">
        <f t="shared" ref="O130:O139" si="23">G130/M130</f>
        <v>1.258949154713115E-3</v>
      </c>
      <c r="P130">
        <f t="shared" si="14"/>
        <v>301.54824368409879</v>
      </c>
      <c r="Q130">
        <f t="shared" si="15"/>
        <v>307.55048241120221</v>
      </c>
    </row>
    <row r="131" spans="1:17" x14ac:dyDescent="0.35">
      <c r="A131">
        <v>631</v>
      </c>
      <c r="B131" t="s">
        <v>129</v>
      </c>
      <c r="C131">
        <v>28058</v>
      </c>
      <c r="D131">
        <v>1093</v>
      </c>
      <c r="E131" s="1">
        <v>637725</v>
      </c>
      <c r="F131" s="1">
        <v>261449</v>
      </c>
      <c r="G131">
        <v>0.46</v>
      </c>
      <c r="H131">
        <v>0.75</v>
      </c>
      <c r="I131">
        <v>83380000</v>
      </c>
      <c r="J131">
        <v>78968333.333333328</v>
      </c>
      <c r="K131">
        <v>191532466.66666666</v>
      </c>
      <c r="L131">
        <f t="shared" si="20"/>
        <v>22.728811747095303</v>
      </c>
      <c r="M131">
        <f t="shared" si="21"/>
        <v>239.20311070448307</v>
      </c>
      <c r="N131">
        <f t="shared" si="22"/>
        <v>3.2997765494531338E-2</v>
      </c>
      <c r="O131">
        <f t="shared" si="23"/>
        <v>1.9230519145225266E-3</v>
      </c>
      <c r="P131">
        <f t="shared" ref="P131:P177" si="24">K131/E131</f>
        <v>300.3370836436813</v>
      </c>
      <c r="Q131">
        <f t="shared" ref="Q131:Q177" si="25">J131/F131</f>
        <v>302.04106090799098</v>
      </c>
    </row>
    <row r="132" spans="1:17" x14ac:dyDescent="0.35">
      <c r="A132">
        <v>632</v>
      </c>
      <c r="B132" t="s">
        <v>130</v>
      </c>
      <c r="C132">
        <v>34520</v>
      </c>
      <c r="D132">
        <v>1880</v>
      </c>
      <c r="E132" s="1">
        <v>749945</v>
      </c>
      <c r="F132" s="1">
        <v>404236</v>
      </c>
      <c r="G132">
        <v>0.34</v>
      </c>
      <c r="H132">
        <v>0.59</v>
      </c>
      <c r="I132">
        <v>81636000</v>
      </c>
      <c r="J132">
        <v>123230000</v>
      </c>
      <c r="K132">
        <v>229398566.66666666</v>
      </c>
      <c r="L132">
        <f t="shared" si="20"/>
        <v>21.724942062572421</v>
      </c>
      <c r="M132">
        <f t="shared" si="21"/>
        <v>215.01914893617021</v>
      </c>
      <c r="N132">
        <f t="shared" si="22"/>
        <v>2.7157724899825986E-2</v>
      </c>
      <c r="O132">
        <f t="shared" si="23"/>
        <v>1.5812545146894389E-3</v>
      </c>
      <c r="P132">
        <f t="shared" si="24"/>
        <v>305.88718728262296</v>
      </c>
      <c r="Q132">
        <f t="shared" si="25"/>
        <v>304.84667372524962</v>
      </c>
    </row>
    <row r="133" spans="1:17" x14ac:dyDescent="0.35">
      <c r="A133">
        <v>633</v>
      </c>
      <c r="B133" t="s">
        <v>131</v>
      </c>
      <c r="C133">
        <v>69372</v>
      </c>
      <c r="D133">
        <v>1003</v>
      </c>
      <c r="E133" s="1">
        <v>1342471</v>
      </c>
      <c r="F133" s="1">
        <v>200462</v>
      </c>
      <c r="G133">
        <v>0.35</v>
      </c>
      <c r="H133">
        <v>0.45</v>
      </c>
      <c r="I133">
        <v>82072000</v>
      </c>
      <c r="J133">
        <v>58983333.333333336</v>
      </c>
      <c r="K133">
        <v>426677466.66666669</v>
      </c>
      <c r="L133">
        <f t="shared" si="20"/>
        <v>19.351770166637838</v>
      </c>
      <c r="M133">
        <f t="shared" si="21"/>
        <v>199.86241276171486</v>
      </c>
      <c r="N133">
        <f t="shared" si="22"/>
        <v>2.3253686671816372E-2</v>
      </c>
      <c r="O133">
        <f t="shared" si="23"/>
        <v>1.7512047171034906E-3</v>
      </c>
      <c r="P133">
        <f t="shared" si="24"/>
        <v>317.82993201839497</v>
      </c>
      <c r="Q133">
        <f t="shared" si="25"/>
        <v>294.23697924461163</v>
      </c>
    </row>
    <row r="134" spans="1:17" x14ac:dyDescent="0.35">
      <c r="A134">
        <v>634</v>
      </c>
      <c r="B134" t="s">
        <v>132</v>
      </c>
      <c r="C134">
        <v>15885</v>
      </c>
      <c r="D134">
        <v>680</v>
      </c>
      <c r="E134" s="1">
        <v>343997</v>
      </c>
      <c r="F134" s="1">
        <v>180627</v>
      </c>
      <c r="G134">
        <v>0.4</v>
      </c>
      <c r="H134">
        <v>0.54</v>
      </c>
      <c r="I134">
        <v>57656000</v>
      </c>
      <c r="J134">
        <v>55081666.666666664</v>
      </c>
      <c r="K134">
        <v>99594700</v>
      </c>
      <c r="L134">
        <f t="shared" si="20"/>
        <v>21.655461126849229</v>
      </c>
      <c r="M134">
        <f t="shared" si="21"/>
        <v>265.62794117647059</v>
      </c>
      <c r="N134">
        <f t="shared" si="22"/>
        <v>2.4935973278836735E-2</v>
      </c>
      <c r="O134">
        <f t="shared" si="23"/>
        <v>1.505865678995942E-3</v>
      </c>
      <c r="P134">
        <f t="shared" si="24"/>
        <v>289.52200164536316</v>
      </c>
      <c r="Q134">
        <f t="shared" si="25"/>
        <v>304.94702711480932</v>
      </c>
    </row>
    <row r="135" spans="1:17" x14ac:dyDescent="0.35">
      <c r="A135">
        <v>635</v>
      </c>
      <c r="B135" t="s">
        <v>133</v>
      </c>
      <c r="C135">
        <v>36785</v>
      </c>
      <c r="D135">
        <v>1948</v>
      </c>
      <c r="E135" s="1">
        <v>758255</v>
      </c>
      <c r="F135" s="1">
        <v>392086</v>
      </c>
      <c r="G135">
        <v>0.31</v>
      </c>
      <c r="H135">
        <v>0.47</v>
      </c>
      <c r="I135">
        <v>72044000</v>
      </c>
      <c r="J135">
        <v>119650000</v>
      </c>
      <c r="K135">
        <v>234350533.33333334</v>
      </c>
      <c r="L135">
        <f t="shared" si="20"/>
        <v>20.613157537039555</v>
      </c>
      <c r="M135">
        <f t="shared" si="21"/>
        <v>201.27618069815196</v>
      </c>
      <c r="N135">
        <f t="shared" si="22"/>
        <v>2.2800970649715462E-2</v>
      </c>
      <c r="O135">
        <f t="shared" si="23"/>
        <v>1.5401723091362609E-3</v>
      </c>
      <c r="P135">
        <f t="shared" si="24"/>
        <v>309.06559578681754</v>
      </c>
      <c r="Q135">
        <f t="shared" si="25"/>
        <v>305.16264288957012</v>
      </c>
    </row>
    <row r="136" spans="1:17" x14ac:dyDescent="0.35">
      <c r="A136">
        <v>636</v>
      </c>
      <c r="B136" t="s">
        <v>134</v>
      </c>
      <c r="C136">
        <v>92669</v>
      </c>
      <c r="D136">
        <v>2154</v>
      </c>
      <c r="E136" s="1">
        <v>1738423</v>
      </c>
      <c r="F136" s="1">
        <v>431887</v>
      </c>
      <c r="G136">
        <v>0.35</v>
      </c>
      <c r="H136">
        <v>0.45</v>
      </c>
      <c r="I136">
        <v>84252000</v>
      </c>
      <c r="J136">
        <v>130510000</v>
      </c>
      <c r="K136">
        <v>558317166.66666663</v>
      </c>
      <c r="L136">
        <f t="shared" si="20"/>
        <v>18.75948807044427</v>
      </c>
      <c r="M136">
        <f t="shared" si="21"/>
        <v>200.50464252553388</v>
      </c>
      <c r="N136">
        <f t="shared" si="22"/>
        <v>2.3987861412325999E-2</v>
      </c>
      <c r="O136">
        <f t="shared" si="23"/>
        <v>1.7455954914132631E-3</v>
      </c>
      <c r="P136">
        <f t="shared" si="24"/>
        <v>321.16301191750603</v>
      </c>
      <c r="Q136">
        <f t="shared" si="25"/>
        <v>302.18552538048147</v>
      </c>
    </row>
    <row r="137" spans="1:17" x14ac:dyDescent="0.35">
      <c r="A137">
        <v>752</v>
      </c>
      <c r="B137" t="s">
        <v>135</v>
      </c>
      <c r="C137">
        <v>8823</v>
      </c>
      <c r="D137">
        <v>2465</v>
      </c>
      <c r="E137" s="1">
        <v>215040</v>
      </c>
      <c r="F137" s="1">
        <v>627602</v>
      </c>
      <c r="G137">
        <v>0.51</v>
      </c>
      <c r="H137">
        <v>0.71</v>
      </c>
      <c r="I137">
        <v>56784000</v>
      </c>
      <c r="J137">
        <v>194731666.66666666</v>
      </c>
      <c r="K137">
        <v>57183333.333333336</v>
      </c>
      <c r="L137">
        <f t="shared" si="20"/>
        <v>24.372662359741586</v>
      </c>
      <c r="M137">
        <f t="shared" si="21"/>
        <v>254.60527383367139</v>
      </c>
      <c r="N137">
        <f t="shared" si="22"/>
        <v>2.9130998883928567E-2</v>
      </c>
      <c r="O137">
        <f t="shared" si="23"/>
        <v>2.0031006912023864E-3</v>
      </c>
      <c r="P137">
        <f t="shared" si="24"/>
        <v>265.91951884920638</v>
      </c>
      <c r="Q137">
        <f t="shared" si="25"/>
        <v>310.27891349400841</v>
      </c>
    </row>
    <row r="138" spans="1:17" x14ac:dyDescent="0.35">
      <c r="A138">
        <v>757</v>
      </c>
      <c r="B138" t="s">
        <v>136</v>
      </c>
      <c r="C138">
        <v>10811</v>
      </c>
      <c r="D138">
        <v>786</v>
      </c>
      <c r="E138" s="1">
        <v>260642</v>
      </c>
      <c r="F138" s="1">
        <v>297814</v>
      </c>
      <c r="G138">
        <v>0.41</v>
      </c>
      <c r="H138">
        <v>0.62</v>
      </c>
      <c r="I138">
        <v>59836000</v>
      </c>
      <c r="J138">
        <v>92560000</v>
      </c>
      <c r="K138">
        <v>71579966.666666672</v>
      </c>
      <c r="L138">
        <f t="shared" si="20"/>
        <v>24.108963093145871</v>
      </c>
      <c r="M138">
        <f t="shared" si="21"/>
        <v>378.89821882951657</v>
      </c>
      <c r="N138">
        <f t="shared" si="22"/>
        <v>2.5716576760460706E-2</v>
      </c>
      <c r="O138">
        <f t="shared" si="23"/>
        <v>1.0820847911783863E-3</v>
      </c>
      <c r="P138">
        <f t="shared" si="24"/>
        <v>274.62944063760511</v>
      </c>
      <c r="Q138">
        <f t="shared" si="25"/>
        <v>310.79801486834066</v>
      </c>
    </row>
    <row r="139" spans="1:17" x14ac:dyDescent="0.35">
      <c r="A139">
        <v>762</v>
      </c>
      <c r="B139" t="s">
        <v>137</v>
      </c>
      <c r="C139">
        <v>1917</v>
      </c>
      <c r="D139">
        <v>1109</v>
      </c>
      <c r="E139" s="1">
        <v>79627</v>
      </c>
      <c r="F139" s="1">
        <v>257141</v>
      </c>
      <c r="G139">
        <v>0.42</v>
      </c>
      <c r="H139">
        <v>0.68</v>
      </c>
      <c r="I139">
        <v>51988000</v>
      </c>
      <c r="J139">
        <v>79525000</v>
      </c>
      <c r="K139">
        <v>13194033.333333334</v>
      </c>
      <c r="L139">
        <f t="shared" si="20"/>
        <v>41.537297861241527</v>
      </c>
      <c r="M139">
        <f t="shared" si="21"/>
        <v>231.86744815148782</v>
      </c>
      <c r="N139">
        <f t="shared" si="22"/>
        <v>1.6370828990166651E-2</v>
      </c>
      <c r="O139">
        <f t="shared" si="23"/>
        <v>1.8113797488537417E-3</v>
      </c>
      <c r="P139">
        <f t="shared" si="24"/>
        <v>165.69798351480446</v>
      </c>
      <c r="Q139">
        <f t="shared" si="25"/>
        <v>309.26612247755122</v>
      </c>
    </row>
    <row r="140" spans="1:17" x14ac:dyDescent="0.35">
      <c r="A140">
        <v>764</v>
      </c>
      <c r="B140" t="s">
        <v>177</v>
      </c>
      <c r="C140" s="3">
        <v>14110</v>
      </c>
      <c r="E140" s="1">
        <v>303610</v>
      </c>
      <c r="F140">
        <v>910</v>
      </c>
      <c r="G140">
        <v>0.34</v>
      </c>
      <c r="H140">
        <v>0.46</v>
      </c>
      <c r="I140">
        <v>55040000</v>
      </c>
      <c r="K140">
        <v>86706666.666666672</v>
      </c>
      <c r="L140">
        <f t="shared" ref="L140:L177" si="26">E140/C140</f>
        <v>21.517363571934798</v>
      </c>
      <c r="N140">
        <f t="shared" si="22"/>
        <v>2.1378083725832484E-2</v>
      </c>
      <c r="P140">
        <f t="shared" si="24"/>
        <v>285.58567460448165</v>
      </c>
    </row>
    <row r="141" spans="1:17" x14ac:dyDescent="0.35">
      <c r="A141">
        <v>770</v>
      </c>
      <c r="B141" t="s">
        <v>138</v>
      </c>
      <c r="C141">
        <v>16074</v>
      </c>
      <c r="D141">
        <v>1611</v>
      </c>
      <c r="E141" s="1">
        <v>360530</v>
      </c>
      <c r="F141" s="1">
        <v>386823</v>
      </c>
      <c r="G141">
        <v>0.27</v>
      </c>
      <c r="H141">
        <v>0.6</v>
      </c>
      <c r="I141">
        <v>62016000</v>
      </c>
      <c r="J141">
        <v>118905000</v>
      </c>
      <c r="K141">
        <v>104301900</v>
      </c>
      <c r="L141">
        <f t="shared" si="26"/>
        <v>22.429389075525695</v>
      </c>
      <c r="M141">
        <f>F141/D141</f>
        <v>240.11359404096834</v>
      </c>
      <c r="N141">
        <f t="shared" si="22"/>
        <v>2.6750617146978059E-2</v>
      </c>
      <c r="O141">
        <f>G141/M141</f>
        <v>1.1244677798372901E-3</v>
      </c>
      <c r="P141">
        <f t="shared" si="24"/>
        <v>289.30158377943582</v>
      </c>
      <c r="Q141">
        <f t="shared" si="25"/>
        <v>307.38865062315324</v>
      </c>
    </row>
    <row r="142" spans="1:17" x14ac:dyDescent="0.35">
      <c r="A142">
        <v>772</v>
      </c>
      <c r="B142" t="s">
        <v>139</v>
      </c>
      <c r="C142">
        <v>20037</v>
      </c>
      <c r="D142">
        <v>1729</v>
      </c>
      <c r="E142" s="1">
        <v>439025</v>
      </c>
      <c r="F142" s="1">
        <v>437029</v>
      </c>
      <c r="G142">
        <v>0.52</v>
      </c>
      <c r="H142">
        <v>0.67</v>
      </c>
      <c r="I142">
        <v>63324000</v>
      </c>
      <c r="J142">
        <v>135778333.33333334</v>
      </c>
      <c r="K142">
        <v>129778000</v>
      </c>
      <c r="L142">
        <f t="shared" si="26"/>
        <v>21.910715176922693</v>
      </c>
      <c r="M142">
        <f>F142/D142</f>
        <v>252.76402544823597</v>
      </c>
      <c r="N142">
        <f t="shared" si="22"/>
        <v>3.057864586299186E-2</v>
      </c>
      <c r="O142">
        <f>G142/M142</f>
        <v>2.057254781719291E-3</v>
      </c>
      <c r="P142">
        <f t="shared" si="24"/>
        <v>295.60503388189738</v>
      </c>
      <c r="Q142">
        <f t="shared" si="25"/>
        <v>310.68495073172113</v>
      </c>
    </row>
    <row r="143" spans="1:17" x14ac:dyDescent="0.35">
      <c r="A143">
        <v>773</v>
      </c>
      <c r="B143" t="s">
        <v>178</v>
      </c>
      <c r="C143">
        <v>5765</v>
      </c>
      <c r="E143" s="1">
        <v>151892</v>
      </c>
      <c r="F143" s="1">
        <v>2022</v>
      </c>
      <c r="G143">
        <v>0.33</v>
      </c>
      <c r="H143">
        <v>0.56000000000000005</v>
      </c>
      <c r="I143">
        <v>52424000</v>
      </c>
      <c r="K143">
        <v>37052533.333333336</v>
      </c>
      <c r="L143">
        <f t="shared" si="26"/>
        <v>26.347267996530789</v>
      </c>
      <c r="N143">
        <f t="shared" si="22"/>
        <v>2.1254575619519135E-2</v>
      </c>
      <c r="P143">
        <f t="shared" si="24"/>
        <v>243.93999245077646</v>
      </c>
    </row>
    <row r="144" spans="1:17" x14ac:dyDescent="0.35">
      <c r="A144">
        <v>774</v>
      </c>
      <c r="B144" t="s">
        <v>140</v>
      </c>
      <c r="C144">
        <v>16069</v>
      </c>
      <c r="D144">
        <v>2532</v>
      </c>
      <c r="E144" s="1">
        <v>372698</v>
      </c>
      <c r="F144" s="1">
        <v>618965</v>
      </c>
      <c r="G144">
        <v>0.37</v>
      </c>
      <c r="H144">
        <v>0.61</v>
      </c>
      <c r="I144">
        <v>63760000</v>
      </c>
      <c r="J144">
        <v>191170000</v>
      </c>
      <c r="K144">
        <v>108128166.66666667</v>
      </c>
      <c r="L144">
        <f t="shared" si="26"/>
        <v>23.193602588835645</v>
      </c>
      <c r="M144">
        <f t="shared" ref="M144:M177" si="27">F144/D144</f>
        <v>244.45695102685625</v>
      </c>
      <c r="N144">
        <f t="shared" si="22"/>
        <v>2.6300355784039626E-2</v>
      </c>
      <c r="O144">
        <f t="shared" ref="O144:O167" si="28">G144/M144</f>
        <v>1.513558924979603E-3</v>
      </c>
      <c r="P144">
        <f t="shared" si="24"/>
        <v>290.12274459929131</v>
      </c>
      <c r="Q144">
        <f t="shared" si="25"/>
        <v>308.85429709272739</v>
      </c>
    </row>
    <row r="145" spans="1:17" x14ac:dyDescent="0.35">
      <c r="A145">
        <v>775</v>
      </c>
      <c r="B145" t="s">
        <v>141</v>
      </c>
      <c r="C145">
        <v>3563</v>
      </c>
      <c r="D145">
        <v>962</v>
      </c>
      <c r="E145" s="1">
        <v>110755</v>
      </c>
      <c r="F145" s="1">
        <v>246250</v>
      </c>
      <c r="G145">
        <v>0.43</v>
      </c>
      <c r="H145">
        <v>0.62</v>
      </c>
      <c r="I145">
        <v>51988000</v>
      </c>
      <c r="J145">
        <v>76456666.666666672</v>
      </c>
      <c r="K145">
        <v>23340333.333333332</v>
      </c>
      <c r="L145">
        <f t="shared" si="26"/>
        <v>31.084760033679483</v>
      </c>
      <c r="M145">
        <f t="shared" si="27"/>
        <v>255.97713097713097</v>
      </c>
      <c r="N145">
        <f t="shared" si="22"/>
        <v>1.9945465216017335E-2</v>
      </c>
      <c r="O145">
        <f t="shared" si="28"/>
        <v>1.6798375634517768E-3</v>
      </c>
      <c r="P145">
        <f t="shared" si="24"/>
        <v>210.73841662528403</v>
      </c>
      <c r="Q145">
        <f t="shared" si="25"/>
        <v>310.4839255499154</v>
      </c>
    </row>
    <row r="146" spans="1:17" x14ac:dyDescent="0.35">
      <c r="A146">
        <v>776</v>
      </c>
      <c r="B146" t="s">
        <v>142</v>
      </c>
      <c r="C146">
        <v>9255</v>
      </c>
      <c r="D146">
        <v>1914</v>
      </c>
      <c r="E146" s="1">
        <v>207519</v>
      </c>
      <c r="F146" s="1">
        <v>457755</v>
      </c>
      <c r="G146">
        <v>0.28000000000000003</v>
      </c>
      <c r="H146">
        <v>0.59</v>
      </c>
      <c r="I146">
        <v>51988000</v>
      </c>
      <c r="J146">
        <v>141710000</v>
      </c>
      <c r="K146">
        <v>55595000</v>
      </c>
      <c r="L146">
        <f t="shared" si="26"/>
        <v>22.422366288492707</v>
      </c>
      <c r="M146">
        <f t="shared" si="27"/>
        <v>239.1614420062696</v>
      </c>
      <c r="N146">
        <f t="shared" si="22"/>
        <v>2.6313012302487962E-2</v>
      </c>
      <c r="O146">
        <f t="shared" si="28"/>
        <v>1.1707572828259659E-3</v>
      </c>
      <c r="P146">
        <f t="shared" si="24"/>
        <v>267.90317994978773</v>
      </c>
      <c r="Q146">
        <f t="shared" si="25"/>
        <v>309.57608327598825</v>
      </c>
    </row>
    <row r="147" spans="1:17" x14ac:dyDescent="0.35">
      <c r="A147">
        <v>777</v>
      </c>
      <c r="B147" t="s">
        <v>143</v>
      </c>
      <c r="C147">
        <v>8334</v>
      </c>
      <c r="D147">
        <v>933</v>
      </c>
      <c r="E147" s="1">
        <v>222363</v>
      </c>
      <c r="F147" s="1">
        <v>229681</v>
      </c>
      <c r="G147">
        <v>0.5</v>
      </c>
      <c r="H147">
        <v>0.73</v>
      </c>
      <c r="I147">
        <v>60708000</v>
      </c>
      <c r="J147">
        <v>70985000</v>
      </c>
      <c r="K147">
        <v>58476000</v>
      </c>
      <c r="L147">
        <f t="shared" si="26"/>
        <v>26.681425485961125</v>
      </c>
      <c r="M147">
        <f t="shared" si="27"/>
        <v>246.17470525187568</v>
      </c>
      <c r="N147">
        <f t="shared" si="22"/>
        <v>2.7359857530254581E-2</v>
      </c>
      <c r="O147">
        <f t="shared" si="28"/>
        <v>2.0310778862857614E-3</v>
      </c>
      <c r="P147">
        <f t="shared" si="24"/>
        <v>262.97540508088127</v>
      </c>
      <c r="Q147">
        <f t="shared" si="25"/>
        <v>309.05908629795238</v>
      </c>
    </row>
    <row r="148" spans="1:17" x14ac:dyDescent="0.35">
      <c r="A148">
        <v>778</v>
      </c>
      <c r="B148" t="s">
        <v>144</v>
      </c>
      <c r="C148">
        <v>5338</v>
      </c>
      <c r="D148">
        <v>1071</v>
      </c>
      <c r="E148" s="1">
        <v>155964</v>
      </c>
      <c r="F148" s="1">
        <v>267156</v>
      </c>
      <c r="G148">
        <v>0.42</v>
      </c>
      <c r="H148">
        <v>0.65</v>
      </c>
      <c r="I148">
        <v>55912000</v>
      </c>
      <c r="J148">
        <v>82725000</v>
      </c>
      <c r="K148">
        <v>37491100</v>
      </c>
      <c r="L148">
        <f t="shared" si="26"/>
        <v>29.217684526039715</v>
      </c>
      <c r="M148">
        <f t="shared" si="27"/>
        <v>249.44537815126051</v>
      </c>
      <c r="N148">
        <f t="shared" si="22"/>
        <v>2.2246800543715216E-2</v>
      </c>
      <c r="O148">
        <f t="shared" si="28"/>
        <v>1.6837353456407491E-3</v>
      </c>
      <c r="P148">
        <f t="shared" si="24"/>
        <v>240.3830371111282</v>
      </c>
      <c r="Q148">
        <f t="shared" si="25"/>
        <v>309.65054125679376</v>
      </c>
    </row>
    <row r="149" spans="1:17" x14ac:dyDescent="0.35">
      <c r="A149">
        <v>779</v>
      </c>
      <c r="B149" t="s">
        <v>145</v>
      </c>
      <c r="C149">
        <v>20020</v>
      </c>
      <c r="D149">
        <v>3794</v>
      </c>
      <c r="E149" s="1">
        <v>461694</v>
      </c>
      <c r="F149" s="1">
        <v>941961</v>
      </c>
      <c r="G149">
        <v>0.51</v>
      </c>
      <c r="H149">
        <v>0.71</v>
      </c>
      <c r="I149">
        <v>72480000</v>
      </c>
      <c r="J149">
        <v>291696666.66666669</v>
      </c>
      <c r="K149">
        <v>135496666.66666666</v>
      </c>
      <c r="L149">
        <f t="shared" si="26"/>
        <v>23.061638361638362</v>
      </c>
      <c r="M149">
        <f t="shared" si="27"/>
        <v>248.27648919346336</v>
      </c>
      <c r="N149">
        <f t="shared" si="22"/>
        <v>3.0787058094755397E-2</v>
      </c>
      <c r="O149">
        <f t="shared" si="28"/>
        <v>2.0541614780229755E-3</v>
      </c>
      <c r="P149">
        <f t="shared" si="24"/>
        <v>293.47720929157981</v>
      </c>
      <c r="Q149">
        <f t="shared" si="25"/>
        <v>309.66957938456761</v>
      </c>
    </row>
    <row r="150" spans="1:17" x14ac:dyDescent="0.35">
      <c r="A150">
        <v>780</v>
      </c>
      <c r="B150" t="s">
        <v>146</v>
      </c>
      <c r="C150">
        <v>11664</v>
      </c>
      <c r="D150">
        <v>1440</v>
      </c>
      <c r="E150" s="1">
        <v>263723</v>
      </c>
      <c r="F150" s="1">
        <v>333013</v>
      </c>
      <c r="G150">
        <v>0.49</v>
      </c>
      <c r="H150">
        <v>0.71</v>
      </c>
      <c r="I150">
        <v>56348000</v>
      </c>
      <c r="J150">
        <v>102720000</v>
      </c>
      <c r="K150">
        <v>73296000</v>
      </c>
      <c r="L150">
        <f t="shared" si="26"/>
        <v>22.609996570644718</v>
      </c>
      <c r="M150">
        <f t="shared" si="27"/>
        <v>231.25902777777779</v>
      </c>
      <c r="N150">
        <f t="shared" si="22"/>
        <v>3.1402039260891162E-2</v>
      </c>
      <c r="O150">
        <f t="shared" si="28"/>
        <v>2.1188362015897278E-3</v>
      </c>
      <c r="P150">
        <f t="shared" si="24"/>
        <v>277.92797746119982</v>
      </c>
      <c r="Q150">
        <f t="shared" si="25"/>
        <v>308.45642662598755</v>
      </c>
    </row>
    <row r="151" spans="1:17" x14ac:dyDescent="0.35">
      <c r="A151">
        <v>781</v>
      </c>
      <c r="B151" t="s">
        <v>147</v>
      </c>
      <c r="C151">
        <v>15346</v>
      </c>
      <c r="D151">
        <v>2855</v>
      </c>
      <c r="E151" s="1">
        <v>346201</v>
      </c>
      <c r="F151" s="1">
        <v>672222</v>
      </c>
      <c r="G151">
        <v>0.51</v>
      </c>
      <c r="H151">
        <v>0.71</v>
      </c>
      <c r="I151">
        <v>61580000</v>
      </c>
      <c r="J151">
        <v>208031666.66666666</v>
      </c>
      <c r="K151">
        <v>99640500</v>
      </c>
      <c r="L151">
        <f t="shared" si="26"/>
        <v>22.559689821451844</v>
      </c>
      <c r="M151">
        <f t="shared" si="27"/>
        <v>235.45429071803852</v>
      </c>
      <c r="N151">
        <f t="shared" si="22"/>
        <v>3.1472063916626464E-2</v>
      </c>
      <c r="O151">
        <f t="shared" si="28"/>
        <v>2.1660255094299204E-3</v>
      </c>
      <c r="P151">
        <f t="shared" si="24"/>
        <v>287.81112706202464</v>
      </c>
      <c r="Q151">
        <f t="shared" si="25"/>
        <v>309.46869734502388</v>
      </c>
    </row>
    <row r="152" spans="1:17" x14ac:dyDescent="0.35">
      <c r="A152">
        <v>782</v>
      </c>
      <c r="B152" t="s">
        <v>148</v>
      </c>
      <c r="C152">
        <v>2307</v>
      </c>
      <c r="D152">
        <v>585</v>
      </c>
      <c r="E152" s="1">
        <v>86377</v>
      </c>
      <c r="F152" s="1">
        <v>130800</v>
      </c>
      <c r="G152">
        <v>0.36</v>
      </c>
      <c r="H152">
        <v>0.51</v>
      </c>
      <c r="I152">
        <v>51116000</v>
      </c>
      <c r="J152">
        <v>40245000</v>
      </c>
      <c r="K152">
        <v>15558666.666666666</v>
      </c>
      <c r="L152">
        <f t="shared" si="26"/>
        <v>37.441265713047251</v>
      </c>
      <c r="M152">
        <f t="shared" si="27"/>
        <v>223.58974358974359</v>
      </c>
      <c r="N152">
        <f t="shared" si="22"/>
        <v>1.3621334382995473E-2</v>
      </c>
      <c r="O152">
        <f t="shared" si="28"/>
        <v>1.6100917431192659E-3</v>
      </c>
      <c r="P152">
        <f t="shared" si="24"/>
        <v>180.12511046536306</v>
      </c>
      <c r="Q152">
        <f t="shared" si="25"/>
        <v>307.68348623853211</v>
      </c>
    </row>
    <row r="153" spans="1:17" x14ac:dyDescent="0.35">
      <c r="A153">
        <v>783</v>
      </c>
      <c r="B153" t="s">
        <v>149</v>
      </c>
      <c r="C153">
        <v>11523</v>
      </c>
      <c r="D153">
        <v>995</v>
      </c>
      <c r="E153" s="1">
        <v>297546</v>
      </c>
      <c r="F153" s="1">
        <v>220667</v>
      </c>
      <c r="G153">
        <v>0.42</v>
      </c>
      <c r="H153">
        <v>0.56999999999999995</v>
      </c>
      <c r="I153">
        <v>66376000</v>
      </c>
      <c r="J153">
        <v>67581666.666666672</v>
      </c>
      <c r="K153">
        <v>82158933.333333328</v>
      </c>
      <c r="L153">
        <f t="shared" si="26"/>
        <v>25.82192137464202</v>
      </c>
      <c r="M153">
        <f t="shared" si="27"/>
        <v>221.77587939698492</v>
      </c>
      <c r="N153">
        <f t="shared" si="22"/>
        <v>2.2074267508217216E-2</v>
      </c>
      <c r="O153">
        <f t="shared" si="28"/>
        <v>1.8938037857948854E-3</v>
      </c>
      <c r="P153">
        <f t="shared" si="24"/>
        <v>276.12178733148261</v>
      </c>
      <c r="Q153">
        <f t="shared" si="25"/>
        <v>306.26086667542802</v>
      </c>
    </row>
    <row r="154" spans="1:17" x14ac:dyDescent="0.35">
      <c r="A154">
        <v>784</v>
      </c>
      <c r="B154" t="s">
        <v>150</v>
      </c>
      <c r="C154">
        <v>8007</v>
      </c>
      <c r="D154">
        <v>685</v>
      </c>
      <c r="E154" s="1">
        <v>188521</v>
      </c>
      <c r="F154" s="1">
        <v>149655</v>
      </c>
      <c r="G154">
        <v>0.34</v>
      </c>
      <c r="H154">
        <v>0.44</v>
      </c>
      <c r="I154">
        <v>53296000</v>
      </c>
      <c r="J154">
        <v>45718333.333333336</v>
      </c>
      <c r="K154">
        <v>49147533.333333336</v>
      </c>
      <c r="L154">
        <f t="shared" si="26"/>
        <v>23.544523541900837</v>
      </c>
      <c r="M154">
        <f t="shared" si="27"/>
        <v>218.47445255474452</v>
      </c>
      <c r="N154">
        <f t="shared" si="22"/>
        <v>1.8687997623606917E-2</v>
      </c>
      <c r="O154">
        <f t="shared" si="28"/>
        <v>1.5562460325415123E-3</v>
      </c>
      <c r="P154">
        <f t="shared" si="24"/>
        <v>260.70057623995916</v>
      </c>
      <c r="Q154">
        <f t="shared" si="25"/>
        <v>305.49151938347092</v>
      </c>
    </row>
    <row r="155" spans="1:17" x14ac:dyDescent="0.35">
      <c r="A155">
        <v>785</v>
      </c>
      <c r="B155" t="s">
        <v>151</v>
      </c>
      <c r="C155">
        <v>13441</v>
      </c>
      <c r="D155">
        <v>1099</v>
      </c>
      <c r="E155" s="1">
        <v>293657</v>
      </c>
      <c r="F155" s="1">
        <v>255093</v>
      </c>
      <c r="G155">
        <v>0.37</v>
      </c>
      <c r="H155">
        <v>0.55000000000000004</v>
      </c>
      <c r="I155">
        <v>54168000</v>
      </c>
      <c r="J155">
        <v>78494166.666666672</v>
      </c>
      <c r="K155">
        <v>83963100</v>
      </c>
      <c r="L155">
        <f t="shared" si="26"/>
        <v>21.847853582322745</v>
      </c>
      <c r="M155">
        <f t="shared" si="27"/>
        <v>232.11373976342128</v>
      </c>
      <c r="N155">
        <f t="shared" si="22"/>
        <v>2.5174097671773532E-2</v>
      </c>
      <c r="O155">
        <f t="shared" si="28"/>
        <v>1.5940460929935358E-3</v>
      </c>
      <c r="P155">
        <f t="shared" si="24"/>
        <v>285.92235158705563</v>
      </c>
      <c r="Q155">
        <f t="shared" si="25"/>
        <v>307.70803850621803</v>
      </c>
    </row>
    <row r="156" spans="1:17" x14ac:dyDescent="0.35">
      <c r="A156">
        <v>786</v>
      </c>
      <c r="B156" t="s">
        <v>152</v>
      </c>
      <c r="C156">
        <v>11237</v>
      </c>
      <c r="D156">
        <v>3953</v>
      </c>
      <c r="E156" s="1">
        <v>270674</v>
      </c>
      <c r="F156" s="1">
        <v>914530</v>
      </c>
      <c r="G156">
        <v>0.33</v>
      </c>
      <c r="H156">
        <v>0.52</v>
      </c>
      <c r="I156">
        <v>61144000</v>
      </c>
      <c r="J156">
        <v>282701666.66666669</v>
      </c>
      <c r="K156">
        <v>74694500</v>
      </c>
      <c r="L156">
        <f t="shared" si="26"/>
        <v>24.087745839636913</v>
      </c>
      <c r="M156">
        <f t="shared" si="27"/>
        <v>231.35087275486973</v>
      </c>
      <c r="N156">
        <f t="shared" si="22"/>
        <v>2.1587740233638991E-2</v>
      </c>
      <c r="O156">
        <f t="shared" si="28"/>
        <v>1.4264048199621663E-3</v>
      </c>
      <c r="P156">
        <f t="shared" si="24"/>
        <v>275.95742479883552</v>
      </c>
      <c r="Q156">
        <f t="shared" si="25"/>
        <v>309.12235428763046</v>
      </c>
    </row>
    <row r="157" spans="1:17" x14ac:dyDescent="0.35">
      <c r="A157">
        <v>787</v>
      </c>
      <c r="B157" t="s">
        <v>153</v>
      </c>
      <c r="C157">
        <v>12267</v>
      </c>
      <c r="D157">
        <v>992</v>
      </c>
      <c r="E157" s="1">
        <v>273974</v>
      </c>
      <c r="F157" s="1">
        <v>224492</v>
      </c>
      <c r="G157">
        <v>0.37</v>
      </c>
      <c r="H157">
        <v>0.52</v>
      </c>
      <c r="I157">
        <v>56348000</v>
      </c>
      <c r="J157">
        <v>69206666.666666672</v>
      </c>
      <c r="K157">
        <v>76713000</v>
      </c>
      <c r="L157">
        <f t="shared" si="26"/>
        <v>22.334230048096519</v>
      </c>
      <c r="M157">
        <f t="shared" si="27"/>
        <v>226.30241935483872</v>
      </c>
      <c r="N157">
        <f t="shared" si="22"/>
        <v>2.3282647258498983E-2</v>
      </c>
      <c r="O157">
        <f t="shared" si="28"/>
        <v>1.6349803111024E-3</v>
      </c>
      <c r="P157">
        <f t="shared" si="24"/>
        <v>280.00102199478783</v>
      </c>
      <c r="Q157">
        <f t="shared" si="25"/>
        <v>308.28121566321596</v>
      </c>
    </row>
    <row r="158" spans="1:17" x14ac:dyDescent="0.35">
      <c r="A158">
        <v>788</v>
      </c>
      <c r="B158" t="s">
        <v>154</v>
      </c>
      <c r="C158">
        <v>13261</v>
      </c>
      <c r="D158">
        <v>404</v>
      </c>
      <c r="E158" s="1">
        <v>340955</v>
      </c>
      <c r="F158" s="1">
        <v>84146</v>
      </c>
      <c r="G158">
        <v>0.45</v>
      </c>
      <c r="H158">
        <v>0.61</v>
      </c>
      <c r="I158">
        <v>68120000</v>
      </c>
      <c r="J158">
        <v>25546666.666666668</v>
      </c>
      <c r="K158">
        <v>95824566.666666672</v>
      </c>
      <c r="L158">
        <f t="shared" si="26"/>
        <v>25.711107759595809</v>
      </c>
      <c r="M158">
        <f t="shared" si="27"/>
        <v>208.28217821782178</v>
      </c>
      <c r="N158">
        <f t="shared" si="22"/>
        <v>2.3725154345881419E-2</v>
      </c>
      <c r="O158">
        <f t="shared" si="28"/>
        <v>2.1605305065006061E-3</v>
      </c>
      <c r="P158">
        <f t="shared" si="24"/>
        <v>281.04754781911595</v>
      </c>
      <c r="Q158">
        <f t="shared" si="25"/>
        <v>303.59929963000815</v>
      </c>
    </row>
    <row r="159" spans="1:17" x14ac:dyDescent="0.35">
      <c r="A159">
        <v>789</v>
      </c>
      <c r="B159" t="s">
        <v>155</v>
      </c>
      <c r="C159">
        <v>13198</v>
      </c>
      <c r="D159">
        <v>1327</v>
      </c>
      <c r="E159" s="1">
        <v>299403</v>
      </c>
      <c r="F159" s="1">
        <v>281433</v>
      </c>
      <c r="G159">
        <v>0.3</v>
      </c>
      <c r="H159">
        <v>0.54</v>
      </c>
      <c r="I159">
        <v>58964000</v>
      </c>
      <c r="J159">
        <v>86265833.333333328</v>
      </c>
      <c r="K159">
        <v>84729900</v>
      </c>
      <c r="L159">
        <f t="shared" si="26"/>
        <v>22.685482648886193</v>
      </c>
      <c r="M159">
        <f t="shared" si="27"/>
        <v>212.08214016578748</v>
      </c>
      <c r="N159">
        <f t="shared" si="22"/>
        <v>2.3803769501307605E-2</v>
      </c>
      <c r="O159">
        <f t="shared" si="28"/>
        <v>1.4145462685612562E-3</v>
      </c>
      <c r="P159">
        <f t="shared" si="24"/>
        <v>282.9961623631026</v>
      </c>
      <c r="Q159">
        <f t="shared" si="25"/>
        <v>306.52351832703818</v>
      </c>
    </row>
    <row r="160" spans="1:17" x14ac:dyDescent="0.35">
      <c r="A160">
        <v>790</v>
      </c>
      <c r="B160" t="s">
        <v>156</v>
      </c>
      <c r="C160">
        <v>8567</v>
      </c>
      <c r="D160">
        <v>1768</v>
      </c>
      <c r="E160" s="1">
        <v>210789</v>
      </c>
      <c r="F160" s="1">
        <v>414826</v>
      </c>
      <c r="G160">
        <v>0.28000000000000003</v>
      </c>
      <c r="H160">
        <v>0.45</v>
      </c>
      <c r="I160">
        <v>56348000</v>
      </c>
      <c r="J160">
        <v>127973333.33333333</v>
      </c>
      <c r="K160">
        <v>55881066.666666664</v>
      </c>
      <c r="L160">
        <f t="shared" si="26"/>
        <v>24.604762460604647</v>
      </c>
      <c r="M160">
        <f t="shared" si="27"/>
        <v>234.63009049773757</v>
      </c>
      <c r="N160">
        <f t="shared" si="22"/>
        <v>1.8289142222791512E-2</v>
      </c>
      <c r="O160">
        <f t="shared" si="28"/>
        <v>1.1933678216890938E-3</v>
      </c>
      <c r="P160">
        <f t="shared" si="24"/>
        <v>265.10428279780569</v>
      </c>
      <c r="Q160">
        <f t="shared" si="25"/>
        <v>308.49882440669904</v>
      </c>
    </row>
    <row r="161" spans="1:17" x14ac:dyDescent="0.35">
      <c r="A161">
        <v>791</v>
      </c>
      <c r="B161" t="s">
        <v>157</v>
      </c>
      <c r="C161">
        <v>19338</v>
      </c>
      <c r="D161">
        <v>2351</v>
      </c>
      <c r="E161" s="1">
        <v>439379</v>
      </c>
      <c r="F161" s="1">
        <v>531561</v>
      </c>
      <c r="G161">
        <v>0.4</v>
      </c>
      <c r="H161">
        <v>0.65</v>
      </c>
      <c r="I161">
        <v>68992000</v>
      </c>
      <c r="J161">
        <v>163971666.66666666</v>
      </c>
      <c r="K161">
        <v>128862233.33333333</v>
      </c>
      <c r="L161">
        <f t="shared" si="26"/>
        <v>22.721015616920052</v>
      </c>
      <c r="M161">
        <f t="shared" si="27"/>
        <v>226.09995746490856</v>
      </c>
      <c r="N161">
        <f t="shared" si="22"/>
        <v>2.8607876116063812E-2</v>
      </c>
      <c r="O161">
        <f t="shared" si="28"/>
        <v>1.7691290369308509E-3</v>
      </c>
      <c r="P161">
        <f t="shared" si="24"/>
        <v>293.2826405752968</v>
      </c>
      <c r="Q161">
        <f t="shared" si="25"/>
        <v>308.47196590168704</v>
      </c>
    </row>
    <row r="162" spans="1:17" x14ac:dyDescent="0.35">
      <c r="A162">
        <v>792</v>
      </c>
      <c r="B162" t="s">
        <v>158</v>
      </c>
      <c r="C162">
        <v>22346</v>
      </c>
      <c r="D162">
        <v>3063</v>
      </c>
      <c r="E162" s="1">
        <v>494458</v>
      </c>
      <c r="F162" s="1">
        <v>675720</v>
      </c>
      <c r="G162">
        <v>0.39</v>
      </c>
      <c r="H162">
        <v>0.61</v>
      </c>
      <c r="I162">
        <v>69864000</v>
      </c>
      <c r="J162">
        <v>208375000</v>
      </c>
      <c r="K162">
        <v>146877333.33333334</v>
      </c>
      <c r="L162">
        <f t="shared" si="26"/>
        <v>22.127360601449922</v>
      </c>
      <c r="M162">
        <f t="shared" si="27"/>
        <v>220.60724779627816</v>
      </c>
      <c r="N162">
        <f t="shared" ref="N162:N167" si="29">H162/L162</f>
        <v>2.7567680166970705E-2</v>
      </c>
      <c r="O162">
        <f t="shared" si="28"/>
        <v>1.7678476291955248E-3</v>
      </c>
      <c r="P162">
        <f t="shared" si="24"/>
        <v>297.04713713466737</v>
      </c>
      <c r="Q162">
        <f t="shared" si="25"/>
        <v>308.37477061504768</v>
      </c>
    </row>
    <row r="163" spans="1:17" x14ac:dyDescent="0.35">
      <c r="A163">
        <v>793</v>
      </c>
      <c r="B163" t="s">
        <v>159</v>
      </c>
      <c r="C163">
        <v>16011</v>
      </c>
      <c r="D163">
        <v>1827</v>
      </c>
      <c r="E163" s="1">
        <v>331442</v>
      </c>
      <c r="F163" s="1">
        <v>375528</v>
      </c>
      <c r="G163">
        <v>0.35</v>
      </c>
      <c r="H163">
        <v>0.56000000000000005</v>
      </c>
      <c r="I163">
        <v>55476000</v>
      </c>
      <c r="J163">
        <v>115420000</v>
      </c>
      <c r="K163">
        <v>96328466.666666672</v>
      </c>
      <c r="L163">
        <f t="shared" si="26"/>
        <v>20.700893135969022</v>
      </c>
      <c r="M163">
        <f t="shared" si="27"/>
        <v>205.54351395730706</v>
      </c>
      <c r="N163">
        <f t="shared" si="29"/>
        <v>2.7051972894201703E-2</v>
      </c>
      <c r="O163">
        <f t="shared" si="28"/>
        <v>1.7028024541445644E-3</v>
      </c>
      <c r="P163">
        <f t="shared" si="24"/>
        <v>290.63445992561799</v>
      </c>
      <c r="Q163">
        <f t="shared" si="25"/>
        <v>307.35391235806651</v>
      </c>
    </row>
    <row r="164" spans="1:17" x14ac:dyDescent="0.35">
      <c r="A164">
        <v>794</v>
      </c>
      <c r="B164" t="s">
        <v>160</v>
      </c>
      <c r="C164">
        <v>9246</v>
      </c>
      <c r="D164">
        <v>561</v>
      </c>
      <c r="E164" s="1">
        <v>215839</v>
      </c>
      <c r="F164" s="1">
        <v>112588</v>
      </c>
      <c r="G164">
        <v>0.31</v>
      </c>
      <c r="H164">
        <v>0.46</v>
      </c>
      <c r="I164">
        <v>54168000</v>
      </c>
      <c r="J164">
        <v>34435000</v>
      </c>
      <c r="K164">
        <v>57794000</v>
      </c>
      <c r="L164">
        <f t="shared" si="26"/>
        <v>23.344040666234047</v>
      </c>
      <c r="M164">
        <f t="shared" si="27"/>
        <v>200.69162210338681</v>
      </c>
      <c r="N164">
        <f t="shared" si="29"/>
        <v>1.9705243260022518E-2</v>
      </c>
      <c r="O164">
        <f t="shared" si="28"/>
        <v>1.5446584005400221E-3</v>
      </c>
      <c r="P164">
        <f t="shared" si="24"/>
        <v>267.76439846366969</v>
      </c>
      <c r="Q164">
        <f t="shared" si="25"/>
        <v>305.84964649873876</v>
      </c>
    </row>
    <row r="165" spans="1:17" x14ac:dyDescent="0.35">
      <c r="A165">
        <v>795</v>
      </c>
      <c r="B165" t="s">
        <v>161</v>
      </c>
      <c r="C165">
        <v>4474</v>
      </c>
      <c r="D165">
        <v>1213</v>
      </c>
      <c r="E165" s="1">
        <v>124405</v>
      </c>
      <c r="F165" s="1">
        <v>317921</v>
      </c>
      <c r="G165">
        <v>0.23</v>
      </c>
      <c r="H165">
        <v>0.49</v>
      </c>
      <c r="I165">
        <v>51552000</v>
      </c>
      <c r="J165">
        <v>98513333.333333328</v>
      </c>
      <c r="K165">
        <v>28120033.333333332</v>
      </c>
      <c r="L165">
        <f t="shared" si="26"/>
        <v>27.806213679034421</v>
      </c>
      <c r="M165">
        <f t="shared" si="27"/>
        <v>262.09480626545752</v>
      </c>
      <c r="N165">
        <f t="shared" si="29"/>
        <v>1.7621960532132951E-2</v>
      </c>
      <c r="O165">
        <f t="shared" si="28"/>
        <v>8.7754505049996714E-4</v>
      </c>
      <c r="P165">
        <f t="shared" si="24"/>
        <v>226.03619897378186</v>
      </c>
      <c r="Q165">
        <f t="shared" si="25"/>
        <v>309.86733601534132</v>
      </c>
    </row>
    <row r="166" spans="1:17" x14ac:dyDescent="0.35">
      <c r="A166">
        <v>796</v>
      </c>
      <c r="B166" t="s">
        <v>162</v>
      </c>
      <c r="C166">
        <v>14290</v>
      </c>
      <c r="D166">
        <v>3089</v>
      </c>
      <c r="E166" s="1">
        <v>364272</v>
      </c>
      <c r="F166" s="1">
        <v>701088</v>
      </c>
      <c r="G166">
        <v>0.44</v>
      </c>
      <c r="H166">
        <v>0.72</v>
      </c>
      <c r="I166">
        <v>72916000</v>
      </c>
      <c r="J166">
        <v>216371666.66666666</v>
      </c>
      <c r="K166">
        <v>103137666.66666667</v>
      </c>
      <c r="L166">
        <f t="shared" si="26"/>
        <v>25.491392582225334</v>
      </c>
      <c r="M166">
        <f t="shared" si="27"/>
        <v>226.9627711233409</v>
      </c>
      <c r="N166">
        <f t="shared" si="29"/>
        <v>2.8244828040585056E-2</v>
      </c>
      <c r="O166">
        <f t="shared" si="28"/>
        <v>1.9386439362818933E-3</v>
      </c>
      <c r="P166">
        <f t="shared" si="24"/>
        <v>283.13366568571473</v>
      </c>
      <c r="Q166">
        <f t="shared" si="25"/>
        <v>308.62269310937666</v>
      </c>
    </row>
    <row r="167" spans="1:17" x14ac:dyDescent="0.35">
      <c r="A167">
        <v>797</v>
      </c>
      <c r="B167" t="s">
        <v>163</v>
      </c>
      <c r="C167" s="2">
        <v>8195</v>
      </c>
      <c r="D167">
        <v>2851</v>
      </c>
      <c r="E167" s="1">
        <v>190715</v>
      </c>
      <c r="F167" s="1">
        <v>649795</v>
      </c>
      <c r="G167">
        <v>0.53</v>
      </c>
      <c r="H167">
        <v>0.6</v>
      </c>
      <c r="I167">
        <v>53296000</v>
      </c>
      <c r="J167">
        <v>201226666.66666666</v>
      </c>
      <c r="K167">
        <v>49993500</v>
      </c>
      <c r="L167">
        <f t="shared" si="26"/>
        <v>23.272117144600365</v>
      </c>
      <c r="M167">
        <f t="shared" si="27"/>
        <v>227.91827428972292</v>
      </c>
      <c r="N167">
        <f t="shared" si="29"/>
        <v>2.5781925910389848E-2</v>
      </c>
      <c r="O167">
        <f t="shared" si="28"/>
        <v>2.3253949322478628E-3</v>
      </c>
      <c r="P167">
        <f t="shared" si="24"/>
        <v>262.13722045984849</v>
      </c>
      <c r="Q167">
        <f t="shared" si="25"/>
        <v>309.67715458978086</v>
      </c>
    </row>
    <row r="168" spans="1:17" x14ac:dyDescent="0.35">
      <c r="A168">
        <v>851</v>
      </c>
      <c r="B168" t="s">
        <v>164</v>
      </c>
      <c r="C168">
        <v>79439</v>
      </c>
      <c r="D168">
        <v>3348</v>
      </c>
      <c r="E168" s="1">
        <v>1513778</v>
      </c>
      <c r="F168" s="1">
        <v>762949</v>
      </c>
      <c r="I168">
        <v>81636000</v>
      </c>
      <c r="J168">
        <v>233921666.66666666</v>
      </c>
      <c r="K168">
        <v>483779900</v>
      </c>
      <c r="L168">
        <f t="shared" si="26"/>
        <v>19.055854177419153</v>
      </c>
      <c r="M168">
        <f t="shared" si="27"/>
        <v>227.88201911589007</v>
      </c>
      <c r="P168">
        <f t="shared" si="24"/>
        <v>319.58444368989376</v>
      </c>
      <c r="Q168">
        <f t="shared" si="25"/>
        <v>306.60197033702997</v>
      </c>
    </row>
    <row r="169" spans="1:17" x14ac:dyDescent="0.35">
      <c r="A169">
        <v>852</v>
      </c>
      <c r="B169" t="s">
        <v>165</v>
      </c>
      <c r="C169">
        <v>29429</v>
      </c>
      <c r="D169">
        <v>3194</v>
      </c>
      <c r="E169" s="1">
        <v>651971</v>
      </c>
      <c r="F169" s="1">
        <v>784500</v>
      </c>
      <c r="I169">
        <v>80328000</v>
      </c>
      <c r="J169">
        <v>242192500</v>
      </c>
      <c r="K169">
        <v>197314700</v>
      </c>
      <c r="L169">
        <f t="shared" si="26"/>
        <v>22.154031737401883</v>
      </c>
      <c r="M169">
        <f t="shared" si="27"/>
        <v>245.61678146524733</v>
      </c>
      <c r="P169">
        <f t="shared" si="24"/>
        <v>302.64336910690815</v>
      </c>
      <c r="Q169">
        <f t="shared" si="25"/>
        <v>308.7221159974506</v>
      </c>
    </row>
    <row r="170" spans="1:17" x14ac:dyDescent="0.35">
      <c r="A170">
        <v>853</v>
      </c>
      <c r="B170" t="s">
        <v>166</v>
      </c>
      <c r="C170">
        <v>29376</v>
      </c>
      <c r="D170">
        <v>5617</v>
      </c>
      <c r="E170" s="1">
        <v>621645</v>
      </c>
      <c r="F170" s="1">
        <v>1286696</v>
      </c>
      <c r="I170">
        <v>70736000</v>
      </c>
      <c r="J170">
        <v>397250833.33333331</v>
      </c>
      <c r="K170">
        <v>189732366.66666666</v>
      </c>
      <c r="L170">
        <f t="shared" si="26"/>
        <v>21.161662581699346</v>
      </c>
      <c r="M170">
        <f t="shared" si="27"/>
        <v>229.07174648388821</v>
      </c>
      <c r="P170">
        <f t="shared" si="24"/>
        <v>305.21015477751234</v>
      </c>
      <c r="Q170">
        <f t="shared" si="25"/>
        <v>308.7371324177065</v>
      </c>
    </row>
    <row r="171" spans="1:17" x14ac:dyDescent="0.35">
      <c r="A171">
        <v>854</v>
      </c>
      <c r="B171" t="s">
        <v>167</v>
      </c>
      <c r="C171">
        <v>36276</v>
      </c>
      <c r="D171">
        <v>2947</v>
      </c>
      <c r="E171" s="1">
        <v>740484</v>
      </c>
      <c r="F171" s="1">
        <v>616481</v>
      </c>
      <c r="I171">
        <v>75532000</v>
      </c>
      <c r="J171">
        <v>188018333.33333334</v>
      </c>
      <c r="K171">
        <v>228541566.66666666</v>
      </c>
      <c r="L171">
        <f t="shared" si="26"/>
        <v>20.412504134965268</v>
      </c>
      <c r="M171">
        <f t="shared" si="27"/>
        <v>209.18934509670851</v>
      </c>
      <c r="P171">
        <f t="shared" si="24"/>
        <v>308.63808896163408</v>
      </c>
      <c r="Q171">
        <f t="shared" si="25"/>
        <v>304.98642023571421</v>
      </c>
    </row>
    <row r="172" spans="1:17" x14ac:dyDescent="0.35">
      <c r="A172">
        <v>855</v>
      </c>
      <c r="B172" t="s">
        <v>168</v>
      </c>
      <c r="C172">
        <v>20476</v>
      </c>
      <c r="D172">
        <v>4590</v>
      </c>
      <c r="E172" s="1">
        <v>450871</v>
      </c>
      <c r="F172" s="1">
        <v>1041610</v>
      </c>
      <c r="I172">
        <v>65504000</v>
      </c>
      <c r="J172">
        <v>321752500</v>
      </c>
      <c r="K172">
        <v>134185766.66666667</v>
      </c>
      <c r="L172">
        <f t="shared" si="26"/>
        <v>22.019486227778863</v>
      </c>
      <c r="M172">
        <f t="shared" si="27"/>
        <v>226.93028322440088</v>
      </c>
      <c r="P172">
        <f t="shared" si="24"/>
        <v>297.61454311026142</v>
      </c>
      <c r="Q172">
        <f t="shared" si="25"/>
        <v>308.89920411670397</v>
      </c>
    </row>
    <row r="173" spans="1:17" x14ac:dyDescent="0.35">
      <c r="A173">
        <v>856</v>
      </c>
      <c r="B173" t="s">
        <v>169</v>
      </c>
      <c r="C173">
        <v>59881</v>
      </c>
      <c r="D173">
        <v>10578</v>
      </c>
      <c r="E173" s="1">
        <v>1159567</v>
      </c>
      <c r="F173" s="1">
        <v>2480730</v>
      </c>
      <c r="I173">
        <v>76840000</v>
      </c>
      <c r="J173">
        <v>768055000</v>
      </c>
      <c r="K173">
        <v>366972733.33333331</v>
      </c>
      <c r="L173">
        <f t="shared" si="26"/>
        <v>19.364522970558273</v>
      </c>
      <c r="M173">
        <f t="shared" si="27"/>
        <v>234.51786727169596</v>
      </c>
      <c r="P173">
        <f t="shared" si="24"/>
        <v>316.47393667923745</v>
      </c>
      <c r="Q173">
        <f t="shared" si="25"/>
        <v>309.60846202529092</v>
      </c>
    </row>
    <row r="174" spans="1:17" x14ac:dyDescent="0.35">
      <c r="A174">
        <v>857</v>
      </c>
      <c r="B174" t="s">
        <v>170</v>
      </c>
      <c r="C174">
        <v>28634</v>
      </c>
      <c r="D174">
        <v>3638</v>
      </c>
      <c r="E174" s="1">
        <v>625536</v>
      </c>
      <c r="F174" s="1">
        <v>844416</v>
      </c>
      <c r="I174">
        <v>76404000</v>
      </c>
      <c r="J174">
        <v>260546666.66666666</v>
      </c>
      <c r="K174">
        <v>189421633.33333334</v>
      </c>
      <c r="L174">
        <f t="shared" si="26"/>
        <v>21.845917440804637</v>
      </c>
      <c r="M174">
        <f t="shared" si="27"/>
        <v>232.10995052226497</v>
      </c>
      <c r="P174">
        <f t="shared" si="24"/>
        <v>302.81491925857722</v>
      </c>
      <c r="Q174">
        <f t="shared" si="25"/>
        <v>308.55249861047952</v>
      </c>
    </row>
    <row r="175" spans="1:17" x14ac:dyDescent="0.35">
      <c r="A175">
        <v>858</v>
      </c>
      <c r="B175" t="s">
        <v>171</v>
      </c>
      <c r="C175">
        <v>39123</v>
      </c>
      <c r="D175">
        <v>5639</v>
      </c>
      <c r="E175" s="1">
        <v>791364</v>
      </c>
      <c r="F175" s="1">
        <v>1387881</v>
      </c>
      <c r="I175">
        <v>70300000</v>
      </c>
      <c r="J175">
        <v>429470833.33333331</v>
      </c>
      <c r="K175">
        <v>246305533.33333334</v>
      </c>
      <c r="L175">
        <f t="shared" si="26"/>
        <v>20.22758990874933</v>
      </c>
      <c r="M175">
        <f t="shared" si="27"/>
        <v>246.12183011172195</v>
      </c>
      <c r="P175">
        <f t="shared" si="24"/>
        <v>311.24177159099145</v>
      </c>
      <c r="Q175">
        <f t="shared" si="25"/>
        <v>309.44355700044406</v>
      </c>
    </row>
    <row r="176" spans="1:17" x14ac:dyDescent="0.35">
      <c r="A176">
        <v>859</v>
      </c>
      <c r="B176" t="s">
        <v>172</v>
      </c>
      <c r="C176">
        <v>14755</v>
      </c>
      <c r="D176">
        <v>3693</v>
      </c>
      <c r="E176" s="1">
        <v>325161</v>
      </c>
      <c r="F176" s="1">
        <v>1135827</v>
      </c>
      <c r="I176">
        <v>59400000</v>
      </c>
      <c r="J176">
        <v>357495000</v>
      </c>
      <c r="K176">
        <v>93316033.333333328</v>
      </c>
      <c r="L176">
        <f t="shared" si="26"/>
        <v>22.037343273466622</v>
      </c>
      <c r="M176">
        <f t="shared" si="27"/>
        <v>307.56214459788788</v>
      </c>
      <c r="P176">
        <f t="shared" si="24"/>
        <v>286.9840889077513</v>
      </c>
      <c r="Q176">
        <f t="shared" si="25"/>
        <v>314.74423481745021</v>
      </c>
    </row>
    <row r="177" spans="1:17" x14ac:dyDescent="0.35">
      <c r="A177">
        <v>860</v>
      </c>
      <c r="B177" t="s">
        <v>173</v>
      </c>
      <c r="C177">
        <v>14051</v>
      </c>
      <c r="D177">
        <v>4431</v>
      </c>
      <c r="E177" s="1">
        <v>336063</v>
      </c>
      <c r="F177" s="1">
        <v>898845</v>
      </c>
      <c r="I177">
        <v>65940000</v>
      </c>
      <c r="J177">
        <v>276925000</v>
      </c>
      <c r="K177">
        <v>95457200</v>
      </c>
      <c r="L177">
        <f t="shared" si="26"/>
        <v>23.917372429008612</v>
      </c>
      <c r="M177">
        <f t="shared" si="27"/>
        <v>202.8537576167908</v>
      </c>
      <c r="P177">
        <f t="shared" si="24"/>
        <v>284.04555098300023</v>
      </c>
      <c r="Q177">
        <f t="shared" si="25"/>
        <v>308.08982638830946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4C19-169F-49BE-8FED-4A1AD6FBF733}">
  <dimension ref="A1"/>
  <sheetViews>
    <sheetView workbookViewId="0">
      <selection activeCell="F8" sqref="F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Hellen Diana Zawedde</dc:creator>
  <cp:lastModifiedBy>Hellen Diana Zawedde</cp:lastModifiedBy>
  <dcterms:created xsi:type="dcterms:W3CDTF">2025-10-28T19:24:35Z</dcterms:created>
  <dcterms:modified xsi:type="dcterms:W3CDTF">2025-11-19T14:41:51Z</dcterms:modified>
</cp:coreProperties>
</file>